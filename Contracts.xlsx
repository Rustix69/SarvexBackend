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_Standard_Contracts" sheetId="2" state="visible" r:id="rId4"/>
    <sheet name="2_Regional_Retail_Contracts" sheetId="3" state="visible" r:id="rId5"/>
    <sheet name="Regional_Topic_Research" sheetId="4" state="visible" r:id="rId6"/>
    <sheet name="Hedge_Calculator" sheetId="5" state="visible" r:id="rId7"/>
  </sheets>
  <definedNames>
    <definedName function="false" hidden="true" localSheetId="1" name="_xlnm._FilterDatabase" vbProcedure="false">1_Standard_Contracts!$A$4:$AB$60</definedName>
    <definedName function="false" hidden="true" localSheetId="2" name="_xlnm._FilterDatabase" vbProcedure="false">2_Regional_Retail_Contracts!$A$4:$X$58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<sst xmlns="http://schemas.openxmlformats.org/spreadsheetml/2006/main" count="3037" uniqueCount="1719">
  <si>
    <t xml:space="preserve">SarvaeX – Initial Contract Set: Standard + Regional (Binary &amp; Event Futures)</t>
  </si>
  <si>
    <t xml:space="preserve">Prepared 12 Sep 2026. Inputs: ServX_Market_Liquidity_and_Oracle_Research.xlsx (snapshot 11 Sep 2026 11:02–16:07 UTC), web research, and earlier SarvaeX design discussions.</t>
  </si>
  <si>
    <t xml:space="preserve">PURPOSE &amp; CONTEXT</t>
  </si>
  <si>
    <t xml:space="preserve">Objective</t>
  </si>
  <si>
    <t xml:space="preserve">Identify the contracts that consistently attract prediction-market liquidity, adapt them for SarvaeX (Group 1), add regionally relevant contracts for India, Asia, the Middle East and Europe (Group 2), and pair every binary with a linear futures contract so users and market makers can hedge binary risk.</t>
  </si>
  <si>
    <t xml:space="preserve">SarvaeX model (from earlier chats)</t>
  </si>
  <si>
    <t xml:space="preserve">Regulated event-derivatives exchange positioned in DIFC (DFSA framework) for Asia-EMEA. Two core products: (1) binary event contracts paying 1.00 USDC; (2) event futures that CO-EXPIRE with the binary and settle on the SAME official data at the SAME time (no perpetuals, no funding). Both legs are cross-margined. The first official release governs and later revisions are ignored. A tiered market-maker programme is planned; the pitch is that MMs can hedge binaries with futures on-venue.</t>
  </si>
  <si>
    <t xml:space="preserve">WORKBOOK GUIDE</t>
  </si>
  <si>
    <t xml:space="preserve">1_Standard_Contracts</t>
  </si>
  <si>
    <t xml:space="preserve">28 contract families (56 rows). Each has a Binary row (blue) and a Futures row (green) sharing a Pair ID. It includes measured 24h activity, bid/ask, spread (formula), minimum top-of-book size and quote-gate result from the 11 Sep snapshot, plus the Kalshi/Polymarket terms URLs used as the documentation reference.</t>
  </si>
  <si>
    <t xml:space="preserve">2_Regional_Retail_Contracts</t>
  </si>
  <si>
    <t xml:space="preserve">27 families (54 rows) written in website language (short title + question), with the topic driver, oracle, fallback, hedge link, liquidity plan and regulatory flags.</t>
  </si>
  <si>
    <t xml:space="preserve">Regional_Topic_Research</t>
  </si>
  <si>
    <t xml:space="preserve">17 most-discussed Asia/EMEA topics (Iran war/Hormuz, oil, rate hikes, rupee, monsoon, gold, cricket, Asian Games, yen/JGBs, EU energy inflation, elections, and more), mapped to contracts, with sources.</t>
  </si>
  <si>
    <t xml:space="preserve">Hedge_Calculator</t>
  </si>
  <si>
    <t xml:space="preserve">Worked delta hedge of an India CPI binary position with the paired CPI futures, plus a settlement-scenario table. All outputs are live formulas.</t>
  </si>
  <si>
    <t xml:space="preserve">COUNTS (live formulas)</t>
  </si>
  <si>
    <t xml:space="preserve">Standard – binary rows</t>
  </si>
  <si>
    <t xml:space="preserve">Standard – futures rows</t>
  </si>
  <si>
    <t xml:space="preserve">Standard – quote-gate PASS rows</t>
  </si>
  <si>
    <t xml:space="preserve">Regional – binary rows</t>
  </si>
  <si>
    <t xml:space="preserve">Regional – futures rows</t>
  </si>
  <si>
    <t xml:space="preserve">Regional – P1 binaries</t>
  </si>
  <si>
    <t xml:space="preserve">STANDARD CONTRACT TERMS (Kalshi-style spec → workbook column)</t>
  </si>
  <si>
    <t xml:space="preserve">1. Scope / Contract name</t>
  </si>
  <si>
    <t xml:space="preserve">Ticker + Contract question (Binary) / Underlying (Futures)</t>
  </si>
  <si>
    <t xml:space="preserve">2. Underlying &amp; Source Agency</t>
  </si>
  <si>
    <t xml:space="preserve">'Oracle / Source Agency'. Name the publisher (BLS, RBI, ICE, CF Benchmarks, IMF PortWatch…) and a fallback hierarchy. The SarvaeX Settlement Committee decides; the publisher only supplies evidence.</t>
  </si>
  <si>
    <t xml:space="preserve">3. Issuance / Parameters</t>
  </si>
  <si>
    <t xml:space="preserve">Strike ladder, outcome set and tick in 'Contract structure' / 'Tick size'</t>
  </si>
  <si>
    <t xml:space="preserve">4. Payout Criterion</t>
  </si>
  <si>
    <t xml:space="preserve">'Resolution criteria' – states strict vs inclusive inequality, precision, series (e.g., NSA vs SA; YoY vs MoM)</t>
  </si>
  <si>
    <t xml:space="preserve">5. Last trading &amp; Expiration</t>
  </si>
  <si>
    <t xml:space="preserve">'Expiry / Last trading time' and 'Settlement / Resolution time' (the UTC instant governs; local time is display only)</t>
  </si>
  <si>
    <t xml:space="preserve">6. Settlement Value</t>
  </si>
  <si>
    <t xml:space="preserve">Binary: 1.00 or 0 USDC. Futures: Final Settlement Value = official number; P&amp;L = (FSV − Entry) × multiplier.</t>
  </si>
  <si>
    <t xml:space="preserve">7. Contingencies</t>
  </si>
  <si>
    <t xml:space="preserve">'Fallback &amp; contingencies' – delay, cancellation, revisions (first release governs), outages, void rules</t>
  </si>
  <si>
    <t xml:space="preserve">8. Documentation</t>
  </si>
  <si>
    <t xml:space="preserve">Kalshi terms PDF (assets.kalshi.com/contract_terms/…) used as the template; SarvaeX writes its own rules and does not claim Kalshi resolves SarvaeX markets</t>
  </si>
  <si>
    <t xml:space="preserve">FUTURES DESIGN CONVENTIONS</t>
  </si>
  <si>
    <t xml:space="preserve">Co-expiry</t>
  </si>
  <si>
    <t xml:space="preserve">Every futures leg expires at the binary's Expiration and settles to the identical Source Agency value, so there is zero settlement basis between the legs.</t>
  </si>
  <si>
    <t xml:space="preserve">Multipliers</t>
  </si>
  <si>
    <t xml:space="preserve">Sized so that a typical surprise moves roughly US$10–25 per contract (e.g., US$100 per 1.00 pp for rates and CPI; 0.01 BTC; 10 bbl). Regional FX and index futures are USD-quanto, so there is no INR/JPY/SAR conversion at settlement.</t>
  </si>
  <si>
    <t xml:space="preserve">Categorical events</t>
  </si>
  <si>
    <t xml:space="preserve">Where no scalar exists (e.g., 2028 nominee), the family is binary-only. Where only a correlated scalar exists (US–Iran ceasefire → Brent), the futures is flagged as a PROXY with basis risk.</t>
  </si>
  <si>
    <t xml:space="preserve">Path-dependent events</t>
  </si>
  <si>
    <t xml:space="preserve">'Dip to / reach' barrier binaries pair with LOOKBACK futures (settle to the period minimum or maximum), which is the exact linear counterpart.</t>
  </si>
  <si>
    <t xml:space="preserve">COLOUR LEGEND</t>
  </si>
  <si>
    <t xml:space="preserve">Blue row fill</t>
  </si>
  <si>
    <t xml:space="preserve">Binary leg</t>
  </si>
  <si>
    <t xml:space="preserve">Green row fill</t>
  </si>
  <si>
    <t xml:space="preserve">Futures leg</t>
  </si>
  <si>
    <t xml:space="preserve">Blue font</t>
  </si>
  <si>
    <t xml:space="preserve">Hard-coded snapshot inputs (volume, bid/ask, top size) from the ServX research file or cited source</t>
  </si>
  <si>
    <t xml:space="preserve">Black font</t>
  </si>
  <si>
    <t xml:space="preserve">Formulas / derived text</t>
  </si>
  <si>
    <t xml:space="preserve">Yellow fill (calculator)</t>
  </si>
  <si>
    <t xml:space="preserve">Key assumptions to edit</t>
  </si>
  <si>
    <t xml:space="preserve">CAVEATS</t>
  </si>
  <si>
    <t xml:space="preserve">Volume comparability</t>
  </si>
  <si>
    <t xml:space="preserve">Kalshi volume = contracts; Polymarket = USD-equivalent turnover; Limitless = lifetime USDC; sports figures are USD game/24h volume from DeFi Rate/Kalshi pages. Do not sum or rank across venues.</t>
  </si>
  <si>
    <t xml:space="preserve">Quote gate</t>
  </si>
  <si>
    <t xml:space="preserve">From the research file: spread ≤3¢, ≥100 contracts at both best levels, and a midpoint between 5% and 95%. PASS is not listing approval or institutional liquidity.</t>
  </si>
  <si>
    <t xml:space="preserve">Hedge equivalence</t>
  </si>
  <si>
    <t xml:space="preserve">No cross-venue pair is certified for automatic hedging (see 'Hedge Checks' in the research file). Exact match is needed on source, instant, strike, inequality, rounding, cancellation and finality.</t>
  </si>
  <si>
    <t xml:space="preserve">Legal / regulatory</t>
  </si>
  <si>
    <t xml:space="preserve">Sports, elections and geopolitical contracts need DFSA/product approval and jurisdiction-by-jurisdiction access rules. Indian residents must be geo-fenced until counsel clears (FEMA/SEBI/Online Gaming Act 2025). No markets on military strikes, casualties or assassinations.</t>
  </si>
  <si>
    <t xml:space="preserve">Data licences</t>
  </si>
  <si>
    <t xml:space="preserve">Index (S&amp;P DJI, Nasdaq, NSE Indices, Nikkei, Tadawul), benchmark (CF Benchmarks, LBMA/IBA, FBIL, ICE) and sports-data licences are gating items before listing.</t>
  </si>
  <si>
    <t xml:space="preserve">NEXT STEPS</t>
  </si>
  <si>
    <t xml:space="preserve">1</t>
  </si>
  <si>
    <t xml:space="preserve">Freeze P1 families (Fed/RBI/ECB/BOJ decisions, US &amp; India CPI, BTC/ETH daily, WTI/Brent, Hormuz weekly, House/Senate, USD/INR, Nifty, gold, monsoon, Asian Games) and write full contract-specification documents in Kalshi section order.</t>
  </si>
  <si>
    <t xml:space="preserve">2</t>
  </si>
  <si>
    <t xml:space="preserve">Re-snapshot books across Asian, Gulf, European and US sessions and around announcements. Measure depth at the intended clip size.</t>
  </si>
  <si>
    <t xml:space="preserve">3</t>
  </si>
  <si>
    <t xml:space="preserve">Sign data licences and MM commitments (Tier 1 quotes both legs of every P1 pair). Configure cross-margin offsets per pair.</t>
  </si>
  <si>
    <t xml:space="preserve">4</t>
  </si>
  <si>
    <t xml:space="preserve">Legal review per jurisdiction, then website copy and listing.</t>
  </si>
  <si>
    <t xml:space="preserve">SarvaeX – Standard High-Liquidity Contracts (Binary + Co-expiring Futures)</t>
  </si>
  <si>
    <t xml:space="preserve">Group 1: contracts adapted from the most liquid markets on Kalshi, Polymarket, Limitless and Opinion. Each Pair ID = one binary + its linear futures counterpart (same Source Agency, same expiry). Snapshot data: 11 Sep 2026 (ServX research file) unless noted.</t>
  </si>
  <si>
    <t xml:space="preserve">Pair ID</t>
  </si>
  <si>
    <t xml:space="preserve">Leg</t>
  </si>
  <si>
    <t xml:space="preserve">SarvaeX Ticker</t>
  </si>
  <si>
    <t xml:space="preserve">Category</t>
  </si>
  <si>
    <t xml:space="preserve">Sub-category</t>
  </si>
  <si>
    <t xml:space="preserve">Contract question (Binary) / Underlying (Futures)</t>
  </si>
  <si>
    <t xml:space="preserve">Reference platform(s)</t>
  </si>
  <si>
    <t xml:space="preserve">Reference contract ID (11-Sep-2026 snapshot)</t>
  </si>
  <si>
    <t xml:space="preserve">Observed 24h activity</t>
  </si>
  <si>
    <t xml:space="preserve">Activity unit</t>
  </si>
  <si>
    <t xml:space="preserve">Best bid</t>
  </si>
  <si>
    <t xml:space="preserve">Best ask</t>
  </si>
  <si>
    <t xml:space="preserve">Spread (¢)</t>
  </si>
  <si>
    <t xml:space="preserve">Min top size</t>
  </si>
  <si>
    <t xml:space="preserve">Expiry / Last trading time</t>
  </si>
  <si>
    <t xml:space="preserve">Settlement / Resolution time</t>
  </si>
  <si>
    <t xml:space="preserve">Contract structure</t>
  </si>
  <si>
    <t xml:space="preserve">Payoff / Settlement formula</t>
  </si>
  <si>
    <t xml:space="preserve">Tick size / Price limits</t>
  </si>
  <si>
    <t xml:space="preserve">Contract size / Multiplier</t>
  </si>
  <si>
    <t xml:space="preserve">Resolution criteria (Payout criterion)</t>
  </si>
  <si>
    <t xml:space="preserve">Oracle / Source Agency</t>
  </si>
  <si>
    <t xml:space="preserve">Fallback &amp; contingencies (revisions, delay, cancellation)</t>
  </si>
  <si>
    <t xml:space="preserve">Reference documentation</t>
  </si>
  <si>
    <t xml:space="preserve">Binary ↔ Futures hedge link</t>
  </si>
  <si>
    <t xml:space="preserve">External liquidity / MM sharing</t>
  </si>
  <si>
    <t xml:space="preserve">Launch priority / Next step</t>
  </si>
  <si>
    <t xml:space="preserve">STD-ECO-01</t>
  </si>
  <si>
    <t xml:space="preserve">Binary</t>
  </si>
  <si>
    <t xml:space="preserve">SX-FEDDEC-26OCT-H25</t>
  </si>
  <si>
    <t xml:space="preserve">Economics</t>
  </si>
  <si>
    <t xml:space="preserve">US monetary policy – FOMC decision</t>
  </si>
  <si>
    <t xml:space="preserve">Will the FOMC raise the federal funds target range by exactly 25 bp at its 27–28 Oct 2026 meeting? (Outcome set: Cut / Hold / Hike 25 / Hike &gt;25)</t>
  </si>
  <si>
    <t xml:space="preserve">Kalshi (KXFEDDECISION); Polymarket; Limitless; Opinion</t>
  </si>
  <si>
    <t xml:space="preserve">K:KXFEDDECISION-26SEP-H0 (Sep mtg, hold leg)</t>
  </si>
  <si>
    <t xml:space="preserve">contracts (Kalshi, 24h)</t>
  </si>
  <si>
    <t xml:space="preserve">PASS</t>
  </si>
  <si>
    <t xml:space="preserve">Last trade 28 Oct 2026 13:59 ET (1 min before FOMC statement)</t>
  </si>
  <si>
    <t xml:space="preserve">FOMC statement release, 28 Oct 2026 ~14:00 ET</t>
  </si>
  <si>
    <t xml:space="preserve">Binary event contract (YES/NO). YES pays 1.00 USDC per contract if the Payout Criterion is met at Expiration, else 0. Price 0.01–0.99 USDC, tick 0.01; fully collateralised (max loss = premium). Mutually exclusive outcome set; exactly one bucket pays.</t>
  </si>
  <si>
    <t xml:space="preserve">YES = 1 if (new upper bound − prior upper bound) = +0.25 pp, else 0.</t>
  </si>
  <si>
    <t xml:space="preserve">0.01 USDC; prices 0.01–0.99</t>
  </si>
  <si>
    <t xml:space="preserve">1 contract = 1 USDC max payout</t>
  </si>
  <si>
    <t xml:space="preserve">Change in the upper bound of the target range announced in the FOMC statement for the named meeting versus the upper bound in force immediately before it. Inter-meeting moves are excluded unless the series terms state otherwise.</t>
  </si>
  <si>
    <t xml:space="preserve">Source Agency: Federal Reserve System – FOMC statement (federalreserve.gov/monetarypolicy/openmarket.htm). SarvaeX oracle: automated ingest from Source Agency + independent second-source check; Settlement Committee confirms and publishes notice; 30-min review window before final payout.</t>
  </si>
  <si>
    <t xml:space="preserve">If the meeting is cancelled/postponed beyond 7 days, resolves 'Hold' (mirrors Kalshi). Non-standard increments round to nearest listed bucket as defined in terms. Align with Polymarket rules before auto-hedging (see Hedge Checks in source file).</t>
  </si>
  <si>
    <t xml:space="preserve">Kalshi terms: https://assets.kalshi.com/contract_terms/FEDDECISION.pdf ; market: https://kalshi.com/markets/kxfeddecision ; Polymarket event (US$115m traded on Sep mtg): https://polymarket.com/event/fed-decision-in-september-762</t>
  </si>
  <si>
    <t xml:space="preserve">Binary bucket delta hedged with SXF-FFUB futures: a Hike-25 YES position gains if rate rises; short futures offsets. Ladder + futures lets MMs run a consistent rate distribution.</t>
  </si>
  <si>
    <t xml:space="preserve">Highest-liquidity macro family globally (Sep mtg: Kalshi event &gt;US$42m, Polymarket US$115m). Mirror Kalshi bucket definitions so MMs can lay off on Kalshi/Polymarket; residual basis from cancellation/rounding rules.</t>
  </si>
  <si>
    <t xml:space="preserve">P1 – Launch batch</t>
  </si>
  <si>
    <t xml:space="preserve">Futures</t>
  </si>
  <si>
    <t xml:space="preserve">SXF-FFUB-26OCT</t>
  </si>
  <si>
    <t xml:space="preserve">Underlying: Upper bound of the federal funds target range (%) announced at the 27–28 Oct 2026 FOMC meeting.</t>
  </si>
  <si>
    <t xml:space="preserve">n/a – new SarvaeX product</t>
  </si>
  <si>
    <t xml:space="preserve">—</t>
  </si>
  <si>
    <t xml:space="preserve">Last trade 28 Oct 2026 13:59 ET</t>
  </si>
  <si>
    <t xml:space="preserve">28 Oct 2026 ~14:00 ET, FOMC statement</t>
  </si>
  <si>
    <t xml:space="preserve">Cash-settled linear event futures. Co-expires with the paired binary and settles to the same Source Agency value at the same Expiration (zero settlement basis). Daily MTM variation margin in USDC; cross-margined with the binary ladder.</t>
  </si>
  <si>
    <t xml:space="preserve">P&amp;L = (Final Settlement Value − Entry Price) × US$100 per 1.00 pp × contracts. FSV = announced upper bound (e.g., 4.00).</t>
  </si>
  <si>
    <t xml:space="preserve">0.005 pp = US$0.50; daily band ±0.50 pp</t>
  </si>
  <si>
    <t xml:space="preserve">US$100 per 1.00 pp (a 25 bp surprise = US$25/contract)</t>
  </si>
  <si>
    <t xml:space="preserve">Final Settlement Value = upper bound of the target range stated in the FOMC statement for the named meeting.</t>
  </si>
  <si>
    <t xml:space="preserve">Source Agency: Federal Reserve System – FOMC statement. SarvaeX oracle: automated ingest from Source Agency + independent second-source check; Settlement Committee confirms and publishes notice; 30-min review window before final payout.</t>
  </si>
  <si>
    <t xml:space="preserve">Cancelled/postponed &gt;7 days: FSV = upper bound in force at the scheduled time. First official release at Expiration governs; later revisions ignored.</t>
  </si>
  <si>
    <t xml:space="preserve">Rate source: https://www.federalreserve.gov/monetarypolicy/openmarket.htm ; Kalshi FED terms (level ladder): https://assets.kalshi.com/contract_terms/FED.pdf</t>
  </si>
  <si>
    <t xml:space="preserve">Linear hedge for the whole FEDDEC bucket set and the 'Upper bound above X' ladder (Kalshi KXFED analogue, K:KXFED-26SEP-T3.75, 1¢ spread).</t>
  </si>
  <si>
    <t xml:space="preserve">External hedge: CME 30-Day Fed Funds futures (ZQ) – basis because ZQ settles on monthly average EFFR, not the target bound.</t>
  </si>
  <si>
    <t xml:space="preserve">STD-ECO-02</t>
  </si>
  <si>
    <t xml:space="preserve">SX-FEDUB-26DEC-T4.00</t>
  </si>
  <si>
    <t xml:space="preserve">US monetary policy – year-end rate path</t>
  </si>
  <si>
    <t xml:space="preserve">Will the upper bound of the fed funds target range be above 4.00% after the 8–9 Dec 2026 FOMC meeting? (strike ladder 3.50–4.75, 25 bp steps)</t>
  </si>
  <si>
    <t xml:space="preserve">Kalshi (KXFED, FEDHIKE); Polymarket ('No Fed cuts in 2026', 'Hike by Oct')</t>
  </si>
  <si>
    <t xml:space="preserve">P:616902 (No Fed cuts in 2026)</t>
  </si>
  <si>
    <t xml:space="preserve">USD-equiv. (Polymarket, 24h)</t>
  </si>
  <si>
    <t xml:space="preserve">Last trade 9 Dec 2026 13:59 ET</t>
  </si>
  <si>
    <t xml:space="preserve">9 Dec 2026 ~14:00 ET, FOMC statement</t>
  </si>
  <si>
    <t xml:space="preserve">Binary event contract (YES/NO). YES pays 1.00 USDC per contract if the Payout Criterion is met at Expiration, else 0. Price 0.01–0.99 USDC, tick 0.01; fully collateralised (max loss = premium). Strike ladder (T = 'above X').</t>
  </si>
  <si>
    <t xml:space="preserve">YES = 1 if upper bound after Dec meeting &gt; 4.00%, else 0.</t>
  </si>
  <si>
    <t xml:space="preserve">0.01 USDC</t>
  </si>
  <si>
    <t xml:space="preserve">1 USDC max payout</t>
  </si>
  <si>
    <t xml:space="preserve">Upper bound of target range in force immediately after the Dec 2026 FOMC statement, strictly greater than the strike.</t>
  </si>
  <si>
    <t xml:space="preserve">Source Agency: Federal Reserve System. SarvaeX oracle: automated ingest from Source Agency + independent second-source check; Settlement Committee confirms and publishes notice; 30-min review window before final payout.</t>
  </si>
  <si>
    <t xml:space="preserve">Includes any inter-meeting change effective before Expiration. Postponed meeting: settle on rate in force at scheduled time. First official release at Expiration governs; later revisions ignored.</t>
  </si>
  <si>
    <t xml:space="preserve">Kalshi: https://assets.kalshi.com/contract_terms/FED.pdf ; https://assets.kalshi.com/contract_terms/FEDHIKE.pdf ; Polymarket: https://polymarket.com/event/how-many-fed-rate-cuts-in-2026</t>
  </si>
  <si>
    <t xml:space="preserve">Pairs with SXF-FFUB-26DEC; ladder delta = density of year-end rate at strike.</t>
  </si>
  <si>
    <t xml:space="preserve">Cross-venue: Kalshi FEDHIKE (hike by Jun-2027, 85¢) and Polymarket cut-count; count vs level definitions differ – do not auto-hedge.</t>
  </si>
  <si>
    <t xml:space="preserve">SXF-FFUB-26DEC</t>
  </si>
  <si>
    <t xml:space="preserve">Underlying: Upper bound of fed funds target range (%) in force after the 8–9 Dec 2026 FOMC meeting.</t>
  </si>
  <si>
    <t xml:space="preserve">9 Dec 2026 ~14:00 ET</t>
  </si>
  <si>
    <t xml:space="preserve">(FSV − Entry) × US$100 per 1.00 pp × contracts.</t>
  </si>
  <si>
    <t xml:space="preserve">0.005 pp = US$0.50; band ±0.50 pp</t>
  </si>
  <si>
    <t xml:space="preserve">US$100 per 1.00 pp</t>
  </si>
  <si>
    <t xml:space="preserve">FSV = upper bound of the target range in force after the Dec 2026 statement.</t>
  </si>
  <si>
    <t xml:space="preserve">First official release at Expiration governs; later revisions ignored.</t>
  </si>
  <si>
    <t xml:space="preserve">https://www.federalreserve.gov/monetarypolicy/fomccalendars.htm</t>
  </si>
  <si>
    <t xml:space="preserve">Calendar spread vs SXF-FFUB-26OCT isolates the Dec meeting.</t>
  </si>
  <si>
    <t xml:space="preserve">External: CME ZQ Dec-26 / SOFR futures (basis).</t>
  </si>
  <si>
    <t xml:space="preserve">STD-ECO-03</t>
  </si>
  <si>
    <t xml:space="preserve">SX-USCPIYOY-26SEP-T3.4</t>
  </si>
  <si>
    <t xml:space="preserve">US inflation – CPI year-on-year</t>
  </si>
  <si>
    <t xml:space="preserve">Will US CPI-U (NSA) year-on-year inflation for September 2026 be above 3.4%? (ladder 3.0–3.8, 0.1 pp steps)</t>
  </si>
  <si>
    <t xml:space="preserve">Kalshi (KXCPIYOY); Polymarket; Opinion</t>
  </si>
  <si>
    <t xml:space="preserve">K:KXCPIYOY-26AUG-T3.4</t>
  </si>
  <si>
    <t xml:space="preserve">Last trade 1 min before BLS release (Oct 2026, 08:30 ET per BLS schedule)</t>
  </si>
  <si>
    <t xml:space="preserve">BLS CPI release for Sep 2026, 08:30 ET</t>
  </si>
  <si>
    <t xml:space="preserve">Binary event contract (YES/NO). YES pays 1.00 USDC per contract if the Payout Criterion is met at Expiration, else 0. Price 0.01–0.99 USDC, tick 0.01; fully collateralised (max loss = premium). Strike ladder.</t>
  </si>
  <si>
    <t xml:space="preserve">YES = 1 if published 12-month % change &gt; 3.4 (strictly above, at published 1-decimal precision).</t>
  </si>
  <si>
    <t xml:space="preserve">12-month percent change in CPI-U, All items, not seasonally adjusted, as first published by BLS for the reference month (Kalshi: strictly above; July-2026 print of 3.4 paid NO on the 3.4 strike).</t>
  </si>
  <si>
    <t xml:space="preserve">Source Agency: US Bureau of Labor Statistics (bls.gov/cpi). SarvaeX oracle: automated ingest from Source Agency + independent second-source check; Settlement Committee confirms and publishes notice; 30-min review window before final payout.</t>
  </si>
  <si>
    <t xml:space="preserve">First official release at Expiration governs; later revisions ignored. If the Source Agency release is delayed, Expiration moves to the release date for up to 14 calendar days; beyond that the binary settles per series terms and the futures settles at the last official daily settlement price (VWAP of final 30 min).</t>
  </si>
  <si>
    <t xml:space="preserve">Kalshi: https://assets.kalshi.com/contract_terms/YOYCPI.pdf ; https://kalshi.com/markets/kxcpiyoy ; BLS schedule: https://www.bls.gov/schedule/news_release/cpi.htm</t>
  </si>
  <si>
    <t xml:space="preserve">Pairs 1:1 with SXF-USCPIYOY-26SEP (same print, same instant). Classic example from design brief: binary 'CPI &gt; X' + linear CPI futures.</t>
  </si>
  <si>
    <t xml:space="preserve">Mirror Kalshi strikes exactly to share MM inventory. External basis hedge: CPI swaps/TIPS breakevens (OTC).</t>
  </si>
  <si>
    <t xml:space="preserve">SXF-USCPIYOY-26SEP</t>
  </si>
  <si>
    <t xml:space="preserve">Underlying: US CPI-U NSA 12-month % change for September 2026 (first release).</t>
  </si>
  <si>
    <t xml:space="preserve">Last trade 1 min before BLS release</t>
  </si>
  <si>
    <t xml:space="preserve">BLS release, 08:30 ET</t>
  </si>
  <si>
    <t xml:space="preserve">(FSV − Entry) × US$100 per 1.00 pp × contracts. FSV e.g. 3.40.</t>
  </si>
  <si>
    <t xml:space="preserve">0.01 pp = US$1; band ±1.00 pp</t>
  </si>
  <si>
    <t xml:space="preserve">FSV = published 12-month % change (1 decimal) for the reference month.</t>
  </si>
  <si>
    <t xml:space="preserve">Source Agency: BLS. SarvaeX oracle: automated ingest from Source Agency + independent second-source check; Settlement Committee confirms and publishes notice; 30-min review window before final payout.</t>
  </si>
  <si>
    <t xml:space="preserve">https://www.bls.gov/cpi/</t>
  </si>
  <si>
    <t xml:space="preserve">Futures delta 1; offsets ladder delta (see Hedge_Calculator).</t>
  </si>
  <si>
    <t xml:space="preserve">Internal netting vs ladder; Kalshi ladder for lay-off.</t>
  </si>
  <si>
    <t xml:space="preserve">STD-ECO-04</t>
  </si>
  <si>
    <t xml:space="preserve">SX-USCPIMOM-26SEP-T0.2</t>
  </si>
  <si>
    <t xml:space="preserve">US inflation – CPI month-on-month</t>
  </si>
  <si>
    <t xml:space="preserve">Will US CPI-U (SA) rise more than 0.2% month-on-month in September 2026? (ladder −0.1 to 0.5)</t>
  </si>
  <si>
    <t xml:space="preserve">Kalshi (KXCPI)</t>
  </si>
  <si>
    <t xml:space="preserve">K:KXCPI-26AUG-T0.2</t>
  </si>
  <si>
    <t xml:space="preserve">REVIEW (3¢ spread)</t>
  </si>
  <si>
    <t xml:space="preserve">1 min before BLS release</t>
  </si>
  <si>
    <t xml:space="preserve">BLS CPI release, 08:30 ET</t>
  </si>
  <si>
    <t xml:space="preserve">YES = 1 if SA 1-month % change &gt; 0.2.</t>
  </si>
  <si>
    <t xml:space="preserve">1 USDC</t>
  </si>
  <si>
    <t xml:space="preserve">Seasonally adjusted 1-month % change, All items CPI-U, first release. Distinct series from YoY – do not mix.</t>
  </si>
  <si>
    <t xml:space="preserve">Kalshi: https://assets.kalshi.com/contract_terms/CPI.pdf</t>
  </si>
  <si>
    <t xml:space="preserve">Pairs with SXF-USCPIMOM-26SEP.</t>
  </si>
  <si>
    <t xml:space="preserve">Same MM book as YoY; correlated but not identical.</t>
  </si>
  <si>
    <t xml:space="preserve">P2</t>
  </si>
  <si>
    <t xml:space="preserve">SXF-USCPIMOM-26SEP</t>
  </si>
  <si>
    <t xml:space="preserve">Underlying: US CPI-U SA 1-month % change, Sep 2026 (first release).</t>
  </si>
  <si>
    <t xml:space="preserve">BLS release 08:30 ET</t>
  </si>
  <si>
    <t xml:space="preserve">(FSV − Entry) × US$100 per 1.00 pp.</t>
  </si>
  <si>
    <t xml:space="preserve">0.01 pp = US$1; band ±0.50 pp</t>
  </si>
  <si>
    <t xml:space="preserve">FSV = published SA 1-month % change.</t>
  </si>
  <si>
    <t xml:space="preserve">Delta-1 hedge for MoM ladder.</t>
  </si>
  <si>
    <t xml:space="preserve">Internal.</t>
  </si>
  <si>
    <t xml:space="preserve">STD-ECO-05</t>
  </si>
  <si>
    <t xml:space="preserve">SX-AAAGAS-26OCT19-T4.25</t>
  </si>
  <si>
    <t xml:space="preserve">US energy prices – retail gasoline</t>
  </si>
  <si>
    <t xml:space="preserve">Will the AAA US national average regular gasoline price be above $4.25/gal on Mon 19 Oct 2026? (weekly, $0.05 ladder)</t>
  </si>
  <si>
    <t xml:space="preserve">Kalshi (KXAAAGASW)</t>
  </si>
  <si>
    <t xml:space="preserve">K:KXAAAGASW-26SEP14-4.2600</t>
  </si>
  <si>
    <t xml:space="preserve">REVIEW (deep ITM)</t>
  </si>
  <si>
    <t xml:space="preserve">Last trade Sun 18 Oct 23:59 ET</t>
  </si>
  <si>
    <t xml:space="preserve">AAA daily national average published Mon 19 Oct 2026</t>
  </si>
  <si>
    <t xml:space="preserve">Binary event contract (YES/NO). YES pays 1.00 USDC per contract if the Payout Criterion is met at Expiration, else 0. Price 0.01–0.99 USDC, tick 0.01; fully collateralised (max loss = premium).</t>
  </si>
  <si>
    <t xml:space="preserve">YES = 1 if AAA national average &gt; strike.</t>
  </si>
  <si>
    <t xml:space="preserve">AAA 'National Average Gas Prices – Regular' value published for the named date.</t>
  </si>
  <si>
    <t xml:space="preserve">Source Agency: AAA (gasprices.aaa.com). SarvaeX oracle: automated ingest from Source Agency + independent second-source check; Settlement Committee confirms and publishes notice; 30-min review window before final payout.</t>
  </si>
  <si>
    <t xml:space="preserve">If AAA does not publish, use next publication within 2 days; else last published value.</t>
  </si>
  <si>
    <t xml:space="preserve">Kalshi: https://assets.kalshi.com/contract_terms/AAAGAS.pdf ; https://gasprices.aaa.com/</t>
  </si>
  <si>
    <t xml:space="preserve">Pairs with SXF-AAAGAS-26OCT19.</t>
  </si>
  <si>
    <t xml:space="preserve">External proxy: NYMEX RBOB futures (retail margin basis). Iran-war oil shock makes this topical.</t>
  </si>
  <si>
    <t xml:space="preserve">SXF-AAAGAS-26OCT19</t>
  </si>
  <si>
    <t xml:space="preserve">Underlying: AAA US national average regular gasoline price (US$/gal) on 19 Oct 2026.</t>
  </si>
  <si>
    <t xml:space="preserve">Sun 18 Oct 23:59 ET</t>
  </si>
  <si>
    <t xml:space="preserve">Mon 19 Oct 2026 AAA publication</t>
  </si>
  <si>
    <t xml:space="preserve">(FSV − Entry) × 100 gal × contracts.</t>
  </si>
  <si>
    <t xml:space="preserve">US$0.001 = US$0.10; band ±US$0.25</t>
  </si>
  <si>
    <t xml:space="preserve">100 gallons notional</t>
  </si>
  <si>
    <t xml:space="preserve">FSV = AAA published national average regular price.</t>
  </si>
  <si>
    <t xml:space="preserve">Source Agency: AAA. SarvaeX oracle: automated ingest from Source Agency + independent second-source check; Settlement Committee confirms and publishes notice; 30-min review window before final payout.</t>
  </si>
  <si>
    <t xml:space="preserve">As binary.</t>
  </si>
  <si>
    <t xml:space="preserve">https://gasprices.aaa.com/</t>
  </si>
  <si>
    <t xml:space="preserve">Delta-1 for gas ladder.</t>
  </si>
  <si>
    <t xml:space="preserve">RBOB crack proxy.</t>
  </si>
  <si>
    <t xml:space="preserve">STD-ECO-06</t>
  </si>
  <si>
    <t xml:space="preserve">SX-NFP-26SEP-T100</t>
  </si>
  <si>
    <t xml:space="preserve">US labour market – Nonfarm payrolls</t>
  </si>
  <si>
    <t xml:space="preserve">Will US nonfarm payrolls for September 2026 increase by more than 100,000? (ladder 0–250k, 25k steps)</t>
  </si>
  <si>
    <t xml:space="preserve">Kalshi (payrolls series); Polymarket</t>
  </si>
  <si>
    <t xml:space="preserve">Not in 11-Sep snapshot – add to re-snapshot</t>
  </si>
  <si>
    <t xml:space="preserve">n/a</t>
  </si>
  <si>
    <t xml:space="preserve">Not measured</t>
  </si>
  <si>
    <t xml:space="preserve">1 min before release</t>
  </si>
  <si>
    <t xml:space="preserve">BLS Employment Situation, Fri 2 Oct 2026 08:30 ET (verify BLS schedule)</t>
  </si>
  <si>
    <t xml:space="preserve">YES = 1 if headline total nonfarm change (SA, thousands) &gt; 100.</t>
  </si>
  <si>
    <t xml:space="preserve">Headline 'Total nonfarm payroll employment' monthly change, first release.</t>
  </si>
  <si>
    <t xml:space="preserve">Source Agency: BLS Employment Situation. SarvaeX oracle: automated ingest from Source Agency + independent second-source check; Settlement Committee confirms and publishes notice; 30-min review window before final payout.</t>
  </si>
  <si>
    <t xml:space="preserve">https://www.bls.gov/ces/ ; Kalshi economics series (fetch payroll terms PDF – not in archive)</t>
  </si>
  <si>
    <t xml:space="preserve">Pairs with SXF-NFP-26SEP.</t>
  </si>
  <si>
    <t xml:space="preserve">Major macro catalyst; Kalshi ladder for lay-off.</t>
  </si>
  <si>
    <t xml:space="preserve">P2 – validate liquidity</t>
  </si>
  <si>
    <t xml:space="preserve">SXF-NFP-26SEP</t>
  </si>
  <si>
    <t xml:space="preserve">Underlying: US nonfarm payroll change (thousands, SA), Sep 2026 first release.</t>
  </si>
  <si>
    <t xml:space="preserve">2 Oct 2026 08:30 ET</t>
  </si>
  <si>
    <t xml:space="preserve">(FSV − Entry) × US$0.10 per 1k jobs.</t>
  </si>
  <si>
    <t xml:space="preserve">1k = US$0.10; band ±300k</t>
  </si>
  <si>
    <t xml:space="preserve">US$0.10 per 1,000 jobs (100k surprise = US$10)</t>
  </si>
  <si>
    <t xml:space="preserve">FSV = headline monthly change in thousands.</t>
  </si>
  <si>
    <t xml:space="preserve">https://www.bls.gov/ces/</t>
  </si>
  <si>
    <t xml:space="preserve">Delta-1 for payroll ladder.</t>
  </si>
  <si>
    <t xml:space="preserve">STD-FIN-01</t>
  </si>
  <si>
    <t xml:space="preserve">SX-SPX-26OCT16-T7650</t>
  </si>
  <si>
    <t xml:space="preserve">Finance</t>
  </si>
  <si>
    <t xml:space="preserve">US equities – S&amp;P 500 daily close</t>
  </si>
  <si>
    <t xml:space="preserve">Will the S&amp;P 500 close above 7,650 on Fri 16 Oct 2026? (daily ladder, 25-pt steps around spot)</t>
  </si>
  <si>
    <t xml:space="preserve">Kalshi (KXINXU); Polymarket (up/down); Limitless (SPY up/down)</t>
  </si>
  <si>
    <t xml:space="preserve">K:KXINXU-26SEP11H1600-T7644.9999</t>
  </si>
  <si>
    <t xml:space="preserve">First batch (3¢ spread)</t>
  </si>
  <si>
    <t xml:space="preserve">Last trade 15:59 ET</t>
  </si>
  <si>
    <t xml:space="preserve">Official S&amp;P 500 closing value, 16:00 ET</t>
  </si>
  <si>
    <t xml:space="preserve">Binary event contract (YES/NO). YES pays 1.00 USDC per contract if the Payout Criterion is met at Expiration, else 0. Price 0.01–0.99 USDC, tick 0.01; fully collateralised (max loss = premium). Daily strike ladder.</t>
  </si>
  <si>
    <t xml:space="preserve">YES = 1 if official close &gt; 7,650.</t>
  </si>
  <si>
    <t xml:space="preserve">Official closing level of the S&amp;P 500 Price Index (not futures, not ETF) for the named trading day.</t>
  </si>
  <si>
    <t xml:space="preserve">Source Agency: S&amp;P Dow Jones Indices official close via licensed feed (note: Kalshi's binding PDF names Kalshi as Source Agency). SarvaeX oracle: automated ingest from Source Agency + independent second-source check; Settlement Committee confirms and publishes notice; 30-min review window before final payout.</t>
  </si>
  <si>
    <t xml:space="preserve">Market closure: settle on next official close. Corrections published before settlement notice are applied; later ignored.</t>
  </si>
  <si>
    <t xml:space="preserve">Kalshi: https://assets.kalshi.com/contract_terms/INX.pdf ; https://kalshi.com/markets/kxinxu</t>
  </si>
  <si>
    <t xml:space="preserve">Pairs with SXF-SPX-26OCT16.</t>
  </si>
  <si>
    <t xml:space="preserve">Deep external hedge: CME ES/MES, SPX 0DTE options; S&amp;P DJI index licence required.</t>
  </si>
  <si>
    <t xml:space="preserve">P1 – Launch batch (licence gating)</t>
  </si>
  <si>
    <t xml:space="preserve">SXF-SPX-26OCT16</t>
  </si>
  <si>
    <t xml:space="preserve">Underlying: S&amp;P 500 official closing value on 16 Oct 2026.</t>
  </si>
  <si>
    <t xml:space="preserve">15:59 ET</t>
  </si>
  <si>
    <t xml:space="preserve">16:00 ET official close</t>
  </si>
  <si>
    <t xml:space="preserve">(FSV − Entry) × US$1 per index point.</t>
  </si>
  <si>
    <t xml:space="preserve">0.25 pt = US$0.25; band ±7%</t>
  </si>
  <si>
    <t xml:space="preserve">US$1 per index point</t>
  </si>
  <si>
    <t xml:space="preserve">FSV = official S&amp;P 500 close.</t>
  </si>
  <si>
    <t xml:space="preserve">Source Agency: S&amp;P DJI (licensed). SarvaeX oracle: automated ingest from Source Agency + independent second-source check; Settlement Committee confirms and publishes notice; 30-min review window before final payout.</t>
  </si>
  <si>
    <t xml:space="preserve">https://www.spglobal.com/spdji/</t>
  </si>
  <si>
    <t xml:space="preserve">Delta-1; hedgeable 1:1 in ES/MES.</t>
  </si>
  <si>
    <t xml:space="preserve">MMs arbitrage vs CME.</t>
  </si>
  <si>
    <t xml:space="preserve">P1</t>
  </si>
  <si>
    <t xml:space="preserve">STD-FIN-02</t>
  </si>
  <si>
    <t xml:space="preserve">SX-NDX-26OCT16-T29250</t>
  </si>
  <si>
    <t xml:space="preserve">US equities – Nasdaq-100 daily close</t>
  </si>
  <si>
    <t xml:space="preserve">Will the Nasdaq-100 close above 29,250 on Fri 16 Oct 2026? (50-pt ladder)</t>
  </si>
  <si>
    <t xml:space="preserve">Kalshi (KXNASDAQ100U)</t>
  </si>
  <si>
    <t xml:space="preserve">K:KXNASDAQ100U-26SEP11H1600-T29229.99</t>
  </si>
  <si>
    <t xml:space="preserve">Official NDX close 16:00 ET</t>
  </si>
  <si>
    <t xml:space="preserve">YES = 1 if official close &gt; strike.</t>
  </si>
  <si>
    <t xml:space="preserve">Official closing value of the Nasdaq-100 Index for the named day.</t>
  </si>
  <si>
    <t xml:space="preserve">Source Agency: Nasdaq official index close (licensed). SarvaeX oracle: automated ingest from Source Agency + independent second-source check; Settlement Committee confirms and publishes notice; 30-min review window before final payout.</t>
  </si>
  <si>
    <t xml:space="preserve">As SPX.</t>
  </si>
  <si>
    <t xml:space="preserve">Kalshi: https://assets.kalshi.com/contract_terms/NASDAQ100.pdf</t>
  </si>
  <si>
    <t xml:space="preserve">Pairs with SXF-NDX.</t>
  </si>
  <si>
    <t xml:space="preserve">CME NQ/MNQ hedge.</t>
  </si>
  <si>
    <t xml:space="preserve">SXF-NDX-26OCT16</t>
  </si>
  <si>
    <t xml:space="preserve">Underlying: Nasdaq-100 official close on 16 Oct 2026.</t>
  </si>
  <si>
    <t xml:space="preserve">16:00 ET</t>
  </si>
  <si>
    <t xml:space="preserve">(FSV − Entry) × US$0.20 per point.</t>
  </si>
  <si>
    <t xml:space="preserve">0.25 pt = US$0.05; band ±7%</t>
  </si>
  <si>
    <t xml:space="preserve">US$0.20 per point</t>
  </si>
  <si>
    <t xml:space="preserve">FSV = official NDX close.</t>
  </si>
  <si>
    <t xml:space="preserve">Source Agency: Nasdaq (licensed). SarvaeX oracle: automated ingest from Source Agency + independent second-source check; Settlement Committee confirms and publishes notice; 30-min review window before final payout.</t>
  </si>
  <si>
    <t xml:space="preserve">https://indexes.nasdaqomx.com/</t>
  </si>
  <si>
    <t xml:space="preserve">Delta-1.</t>
  </si>
  <si>
    <t xml:space="preserve">CME NQ.</t>
  </si>
  <si>
    <t xml:space="preserve">STD-FIN-03</t>
  </si>
  <si>
    <t xml:space="preserve">SX-SPXY-26DEC31-B6700</t>
  </si>
  <si>
    <t xml:space="preserve">US equities – S&amp;P 500 year-end range</t>
  </si>
  <si>
    <t xml:space="preserve">Will the S&amp;P 500 close between 6,600 and 6,799.99 on Thu 31 Dec 2026? (200-pt range buckets 6,000–8,400)</t>
  </si>
  <si>
    <t xml:space="preserve">Kalshi (KXINXY); Opinion</t>
  </si>
  <si>
    <t xml:space="preserve">K:KXINXY-26DEC31H1600-B6700</t>
  </si>
  <si>
    <t xml:space="preserve">REVIEW</t>
  </si>
  <si>
    <t xml:space="preserve">31 Dec 2026 15:59 ET</t>
  </si>
  <si>
    <t xml:space="preserve">Official close 31 Dec 2026</t>
  </si>
  <si>
    <t xml:space="preserve">Binary event contract (YES/NO). YES pays 1.00 USDC per contract if the Payout Criterion is met at Expiration, else 0. Price 0.01–0.99 USDC, tick 0.01; fully collateralised (max loss = premium). Mutually exclusive range buckets.</t>
  </si>
  <si>
    <t xml:space="preserve">YES = 1 if 6,600 ≤ close ≤ 6,799.99.</t>
  </si>
  <si>
    <t xml:space="preserve">Official S&amp;P 500 close on last trading day of 2026.</t>
  </si>
  <si>
    <t xml:space="preserve">As SPX daily.</t>
  </si>
  <si>
    <t xml:space="preserve">https://assets.kalshi.com/contract_terms/INX.pdf</t>
  </si>
  <si>
    <t xml:space="preserve">Bucket strip replicates distribution; SXF-SPXY hedges aggregate delta.</t>
  </si>
  <si>
    <t xml:space="preserve">SPX Dec options.</t>
  </si>
  <si>
    <t xml:space="preserve">SXF-SPXY-26DEC31</t>
  </si>
  <si>
    <t xml:space="preserve">Underlying: S&amp;P 500 official close on 31 Dec 2026.</t>
  </si>
  <si>
    <t xml:space="preserve">31 Dec 15:59 ET</t>
  </si>
  <si>
    <t xml:space="preserve">31 Dec 2026 16:00 ET</t>
  </si>
  <si>
    <t xml:space="preserve">(FSV − Entry) × US$1 per point.</t>
  </si>
  <si>
    <t xml:space="preserve">0.25 pt; band ±10%</t>
  </si>
  <si>
    <t xml:space="preserve">US$1 per point</t>
  </si>
  <si>
    <t xml:space="preserve">FSV = official close.</t>
  </si>
  <si>
    <t xml:space="preserve">S&amp;P DJI (licensed). SarvaeX oracle: automated ingest from Source Agency + independent second-source check; Settlement Committee confirms and publishes notice; 30-min review window before final payout.</t>
  </si>
  <si>
    <t xml:space="preserve">CME ES Dec-26.</t>
  </si>
  <si>
    <t xml:space="preserve">STD-FIN-04</t>
  </si>
  <si>
    <t xml:space="preserve">SX-UST10Y-26OCT30-T4.90</t>
  </si>
  <si>
    <t xml:space="preserve">US rates – 10Y Treasury yield</t>
  </si>
  <si>
    <t xml:space="preserve">Will the 10-year US Treasury constant-maturity yield be above 4.90% on Fri 30 Oct 2026?</t>
  </si>
  <si>
    <t xml:space="preserve">Kalshi (KX10YRDIR)</t>
  </si>
  <si>
    <t xml:space="preserve">K:KX10YRDIRHM-26SEP30H-T4.85</t>
  </si>
  <si>
    <t xml:space="preserve">contracts (Kalshi)</t>
  </si>
  <si>
    <t xml:space="preserve">Screened (see Oracle Map)</t>
  </si>
  <si>
    <t xml:space="preserve">30 Oct 2026 15:59 ET</t>
  </si>
  <si>
    <t xml:space="preserve">Treasury Daily Par Yield Curve publication for 30 Oct 2026</t>
  </si>
  <si>
    <t xml:space="preserve">YES = 1 if published 10Y par yield &gt; 4.90.</t>
  </si>
  <si>
    <t xml:space="preserve">10-year value in US Treasury Daily Treasury Par Yield Curve Rates for the named date.</t>
  </si>
  <si>
    <t xml:space="preserve">Source Agency hierarchy (Kalshi): Pyth, then US Treasury. SarvaeX proposal: US Treasury primary, Pyth fallback. SarvaeX oracle: automated ingest from Source Agency + independent second-source check; Settlement Committee confirms and publishes notice; 30-min review window before final payout.</t>
  </si>
  <si>
    <t xml:space="preserve">If Treasury does not publish (holiday), next business day.</t>
  </si>
  <si>
    <t xml:space="preserve">Kalshi: https://assets.kalshi.com/contract_terms/10YRDIR.pdf ; https://home.treasury.gov/resource-center/data-chart-center/interest-rates</t>
  </si>
  <si>
    <t xml:space="preserve">Pairs with SXF-UST10Y.</t>
  </si>
  <si>
    <t xml:space="preserve">CME ZN / 10Y yield futures (basis: CMT vs cash).</t>
  </si>
  <si>
    <t xml:space="preserve">SXF-UST10Y-26OCT30</t>
  </si>
  <si>
    <t xml:space="preserve">Underlying: 10Y Treasury par yield (%) on 30 Oct 2026.</t>
  </si>
  <si>
    <t xml:space="preserve">30 Oct 15:59 ET</t>
  </si>
  <si>
    <t xml:space="preserve">Treasury publication</t>
  </si>
  <si>
    <t xml:space="preserve">0.001 pp = US$0.10; band ±0.40 pp</t>
  </si>
  <si>
    <t xml:space="preserve">US$100 per 1.00 pp (10 bp = US$10)</t>
  </si>
  <si>
    <t xml:space="preserve">FSV = published 10Y par yield.</t>
  </si>
  <si>
    <t xml:space="preserve">US Treasury (primary). SarvaeX oracle: automated ingest from Source Agency + independent second-source check; Settlement Committee confirms and publishes notice; 30-min review window before final payout.</t>
  </si>
  <si>
    <t xml:space="preserve">ZN/TN.</t>
  </si>
  <si>
    <t xml:space="preserve">STD-FIN-05</t>
  </si>
  <si>
    <t xml:space="preserve">SX-EURUSD-26OCT16-T1.1600</t>
  </si>
  <si>
    <t xml:space="preserve">FX – EUR/USD daily</t>
  </si>
  <si>
    <t xml:space="preserve">Will EUR/USD be above 1.1600 at 17:00 ET on Fri 16 Oct 2026?</t>
  </si>
  <si>
    <t xml:space="preserve">Kalshi (KXEURUSD, Pyth-settled)</t>
  </si>
  <si>
    <t xml:space="preserve">K:KXEURUSDAW-26SEP11-1.1790</t>
  </si>
  <si>
    <t xml:space="preserve">REVIEW (deep OTM strike)</t>
  </si>
  <si>
    <t xml:space="preserve">16:59 ET</t>
  </si>
  <si>
    <t xml:space="preserve">17:00 ET Pyth EUR/USD</t>
  </si>
  <si>
    <t xml:space="preserve">YES = 1 if reference rate &gt; strike.</t>
  </si>
  <si>
    <t xml:space="preserve">Pyth EUR/USD aggregate price at 17:00:00 ET (define averaging window, e.g., 60-s mean, in final terms).</t>
  </si>
  <si>
    <t xml:space="preserve">Source Agency: Pyth Network FX.EUR/USD (as Kalshi). SarvaeX oracle: automated ingest from Source Agency + independent second-source check; Settlement Committee confirms and publishes notice; 30-min review window before final payout.</t>
  </si>
  <si>
    <t xml:space="preserve">Stale/unavailable feed &gt;60 s: use next valid print within 5 min; else WM/Reuters 4pm fix (licensed).</t>
  </si>
  <si>
    <t xml:space="preserve">Kalshi: https://assets.kalshi.com/contract_terms/FXEURUSD.pdf</t>
  </si>
  <si>
    <t xml:space="preserve">Pairs with SXF-EURUSD.</t>
  </si>
  <si>
    <t xml:space="preserve">Deep external hedge via spot FX/CME 6E.</t>
  </si>
  <si>
    <t xml:space="preserve">SXF-EURUSD-26OCT16</t>
  </si>
  <si>
    <t xml:space="preserve">Underlying: Pyth EUR/USD at 17:00 ET, 16 Oct 2026.</t>
  </si>
  <si>
    <t xml:space="preserve">17:00 ET</t>
  </si>
  <si>
    <t xml:space="preserve">(FSV − Entry) × €1,000 notional (USD P&amp;L).</t>
  </si>
  <si>
    <t xml:space="preserve">0.0001 = US$0.10; band ±3%</t>
  </si>
  <si>
    <t xml:space="preserve">€1,000 notional</t>
  </si>
  <si>
    <t xml:space="preserve">FSV = Pyth rate per terms.</t>
  </si>
  <si>
    <t xml:space="preserve">Pyth. SarvaeX oracle: automated ingest from Source Agency + independent second-source check; Settlement Committee confirms and publishes notice; 30-min review window before final payout.</t>
  </si>
  <si>
    <t xml:space="preserve">Spot FX.</t>
  </si>
  <si>
    <t xml:space="preserve">STD-CRY-01</t>
  </si>
  <si>
    <t xml:space="preserve">SX-BTCD-26OCT30H17-T80000</t>
  </si>
  <si>
    <t xml:space="preserve">Crypto</t>
  </si>
  <si>
    <t xml:space="preserve">Bitcoin – daily price threshold</t>
  </si>
  <si>
    <t xml:space="preserve">Will Bitcoin be at or above $80,000 at 17:00 ET on Fri 30 Oct 2026? (daily &amp; hourly ladder, $500 steps)</t>
  </si>
  <si>
    <t xml:space="preserve">Kalshi (KXBTCD); Polymarket (Binance-settled); Limitless (Pyth)</t>
  </si>
  <si>
    <t xml:space="preserve">K:KXBTCD-26SEP1117-T76999.99</t>
  </si>
  <si>
    <t xml:space="preserve">17:00 ET – 60-s average of CF Benchmarks BRTI</t>
  </si>
  <si>
    <t xml:space="preserve">Binary event contract (YES/NO). YES pays 1.00 USDC per contract if the Payout Criterion is met at Expiration, else 0. Price 0.01–0.99 USDC, tick 0.01; fully collateralised (max loss = premium). Hourly/daily ladder.</t>
  </si>
  <si>
    <t xml:space="preserve">YES = 1 if simple average of BRTI over the 60 s before 17:00 ET ≥ strike (Kalshi strikes are X.99 'above').</t>
  </si>
  <si>
    <t xml:space="preserve">Simple average of the CF Bitcoin Real-Time Index (BRTI), sampled each second, for the 60 s prior to Expiration.</t>
  </si>
  <si>
    <t xml:space="preserve">Source Agency: CF Benchmarks (FCA-authorised benchmark administrator). SarvaeX oracle: automated ingest from Source Agency + independent second-source check; Settlement Committee confirms and publishes notice; 30-min review window before final payout.</t>
  </si>
  <si>
    <t xml:space="preserve">BRTI outage: use CF Benchmarks BRR / next available 60-s window per terms. Revisions after Expiration ignored.</t>
  </si>
  <si>
    <t xml:space="preserve">Kalshi: https://assets.kalshi.com/contract_terms/BTC.pdf ; https://www.cfbenchmarks.com/data/indices/BRTI</t>
  </si>
  <si>
    <t xml:space="preserve">Pairs with SXF-BTCD – identical 60-s BRTI settlement.</t>
  </si>
  <si>
    <t xml:space="preserve">Anchor crypto family (16/25 Kalshi crypto rows pass quote gate). Keep Kalshi's exact benchmark and time for hedge equivalence; licence BRTI. Hedge with CME BTC / perps.</t>
  </si>
  <si>
    <t xml:space="preserve">SXF-BTCD-26OCT30H17</t>
  </si>
  <si>
    <t xml:space="preserve">Underlying: 60-s average BRTI (US$) ending 17:00 ET, 30 Oct 2026.</t>
  </si>
  <si>
    <t xml:space="preserve">(FSV − Entry) × 0.01 BTC.</t>
  </si>
  <si>
    <t xml:space="preserve">US$1 = US$0.01; band ±15%</t>
  </si>
  <si>
    <t xml:space="preserve">0.01 BTC</t>
  </si>
  <si>
    <t xml:space="preserve">FSV = 60-s simple average BRTI.</t>
  </si>
  <si>
    <t xml:space="preserve">CF Benchmarks. SarvaeX oracle: automated ingest from Source Agency + independent second-source check; Settlement Committee confirms and publishes notice; 30-min review window before final payout.</t>
  </si>
  <si>
    <t xml:space="preserve">Kalshi BTC perps also reference BRTI (launched 3 Jun 2026).</t>
  </si>
  <si>
    <t xml:space="preserve">Delta-1; dated future (not perp) so it co-expires with the binary.</t>
  </si>
  <si>
    <t xml:space="preserve">Hedge on CME/perp venues.</t>
  </si>
  <si>
    <t xml:space="preserve">STD-CRY-02</t>
  </si>
  <si>
    <t xml:space="preserve">SX-BTC15M-{window}</t>
  </si>
  <si>
    <t xml:space="preserve">Bitcoin – 15-min / hourly up-down</t>
  </si>
  <si>
    <t xml:space="preserve">Will Bitcoin be higher at the end of the 15-minute window than at its start? (rolling series, 96 windows/day)</t>
  </si>
  <si>
    <t xml:space="preserve">Kalshi (KXBTC15M); Polymarket (5m/15m, Chainlink); Limitless (Pyth/Chainlink)</t>
  </si>
  <si>
    <t xml:space="preserve">K:KXBTC15M-26SEP110715-15</t>
  </si>
  <si>
    <t xml:space="preserve">PASS (re-snapshot)</t>
  </si>
  <si>
    <t xml:space="preserve">Window close</t>
  </si>
  <si>
    <t xml:space="preserve">Window close – 60-s BRTI average vs window-open reference</t>
  </si>
  <si>
    <t xml:space="preserve">YES = 1 if settlement ≥ open reference ('Price to Beat').</t>
  </si>
  <si>
    <t xml:space="preserve">Open reference and close value both from BRTI 60-s averages (Kalshi). Polymarket uses Chainlink BTC/USD data stream – not interchangeable.</t>
  </si>
  <si>
    <t xml:space="preserve">Source Agency: CF Benchmarks BRTI. SarvaeX oracle: automated ingest from Source Agency + independent second-source check; Settlement Committee confirms and publishes notice; 30-min review window before final payout.</t>
  </si>
  <si>
    <t xml:space="preserve">Feed gap: void window and refund if no valid print within 60 s.</t>
  </si>
  <si>
    <t xml:space="preserve">Kalshi: https://assets.kalshi.com/contract_terms/CRYPTO.pdf ; Polymarket rules cite https://data.chain.link/streams/btc-usd</t>
  </si>
  <si>
    <t xml:space="preserve">Pairs with hourly futures SXF-BTCH.</t>
  </si>
  <si>
    <t xml:space="preserve">Very high turnover, fast decay; requires automated MM. Limitless pays 100% maker rebate on these.</t>
  </si>
  <si>
    <t xml:space="preserve">SXF-BTCH-{hour}</t>
  </si>
  <si>
    <t xml:space="preserve">Underlying: 60-s average BRTI at top of each hour.</t>
  </si>
  <si>
    <t xml:space="preserve">Top of hour −1 min</t>
  </si>
  <si>
    <t xml:space="preserve">Top of hour</t>
  </si>
  <si>
    <t xml:space="preserve">US$1; band ±5%</t>
  </si>
  <si>
    <t xml:space="preserve">FSV = 60-s BRTI average.</t>
  </si>
  <si>
    <t xml:space="preserve">Delta-1 for the 4 × 15-min windows inside the hour.</t>
  </si>
  <si>
    <t xml:space="preserve">Perp hedge.</t>
  </si>
  <si>
    <t xml:space="preserve">STD-CRY-03</t>
  </si>
  <si>
    <t xml:space="preserve">SX-BTCLOW-26DEC31-T60000</t>
  </si>
  <si>
    <t xml:space="preserve">Bitcoin – path/barrier (dip to / reach)</t>
  </si>
  <si>
    <t xml:space="preserve">Will Bitcoin trade at or below $60,000 at any time before 31 Dec 2026 23:59 ET? (barrier ladder $45k–$120k)</t>
  </si>
  <si>
    <t xml:space="preserve">Polymarket (Binance 1-min candles); Limitless</t>
  </si>
  <si>
    <t xml:space="preserve">P:701502 (dip to $45k)</t>
  </si>
  <si>
    <t xml:space="preserve">31 Dec 2026 23:59 ET (or on touch)</t>
  </si>
  <si>
    <t xml:space="preserve">Immediately on first qualifying touch; else NO at expiry</t>
  </si>
  <si>
    <t xml:space="preserve">Binary event contract (YES/NO). YES pays 1.00 USDC per contract if the Payout Criterion is met at Expiration, else 0. Price 0.01–0.99 USDC, tick 0.01; fully collateralised (max loss = premium). Path-dependent (one-touch).</t>
  </si>
  <si>
    <t xml:space="preserve">YES = 1 if min(reference price over window) ≤ barrier.</t>
  </si>
  <si>
    <t xml:space="preserve">Polymarket: any Binance BTC/USDT 1-minute candle low ≤ barrier. SarvaeX proposal: BRTI 1-s prints (60-s rolling average) to avoid single-exchange wicks.</t>
  </si>
  <si>
    <t xml:space="preserve">Source Agency: CF Benchmarks BRTI (proposed) – differs from Polymarket's Binance source. SarvaeX oracle: automated ingest from Source Agency + independent second-source check; Settlement Committee confirms and publishes notice; 30-min review window before final payout.</t>
  </si>
  <si>
    <t xml:space="preserve">Exchange/benchmark outage: touch must be confirmed on the 60-s average.</t>
  </si>
  <si>
    <t xml:space="preserve">https://polymarket.com/event/what-price-will-bitcoin-hit-before-2027</t>
  </si>
  <si>
    <t xml:space="preserve">Pairs with LOOKBACK futures SXF-BTCLOW (settles to period minimum) – exact linear counterpart of a barrier.</t>
  </si>
  <si>
    <t xml:space="preserve">Touch vs terminal distinction matters; do not hedge with terminal-price contracts without modelling basis.</t>
  </si>
  <si>
    <t xml:space="preserve">SXF-BTCLOW-26DEC31</t>
  </si>
  <si>
    <t xml:space="preserve">Underlying: Lowest 60-s average BRTI (US$) between listing and 31 Dec 2026 23:59 ET (lookback-low futures).</t>
  </si>
  <si>
    <t xml:space="preserve">31 Dec 2026 23:59 ET</t>
  </si>
  <si>
    <t xml:space="preserve">31 Dec 2026</t>
  </si>
  <si>
    <t xml:space="preserve">Cash-settled linear event futures. Co-expires with the paired binary and settles to the same Source Agency value at the same Expiration (zero settlement basis). Daily MTM variation margin in USDC; cross-margined with the binary ladder. Lookback variant: FSV = running minimum.</t>
  </si>
  <si>
    <t xml:space="preserve">(FSV − Entry) × 0.01 BTC, FSV = period minimum.</t>
  </si>
  <si>
    <t xml:space="preserve">US$1; band ±15%</t>
  </si>
  <si>
    <t xml:space="preserve">FSV = minimum 60-s BRTI average observed in window.</t>
  </si>
  <si>
    <t xml:space="preserve">Barrier binaries become a strip on the lookback distribution.</t>
  </si>
  <si>
    <t xml:space="preserve">Novel – internal MM first.</t>
  </si>
  <si>
    <t xml:space="preserve">P3</t>
  </si>
  <si>
    <t xml:space="preserve">STD-CRY-04</t>
  </si>
  <si>
    <t xml:space="preserve">SX-ETHD-26OCT30H17-T2500</t>
  </si>
  <si>
    <t xml:space="preserve">Ethereum – daily price threshold</t>
  </si>
  <si>
    <t xml:space="preserve">Will Ethereum be at or above $2,500 at 17:00 ET on Fri 30 Oct 2026?</t>
  </si>
  <si>
    <t xml:space="preserve">Polymarket (Binance); Kalshi (ETH series)</t>
  </si>
  <si>
    <t xml:space="preserve">P:4216760</t>
  </si>
  <si>
    <t xml:space="preserve">17:00 ET – 60-s CF Ether-Dollar Real-Time Index (ETHUSD_RTI)</t>
  </si>
  <si>
    <t xml:space="preserve">YES = 1 if 60-s average ≥ strike.</t>
  </si>
  <si>
    <t xml:space="preserve">60-s simple average of CF Benchmarks ETH real-time index before Expiration.</t>
  </si>
  <si>
    <t xml:space="preserve">CF Benchmarks (proposed; Polymarket uses Binance ETH/USDT). SarvaeX oracle: automated ingest from Source Agency + independent second-source check; Settlement Committee confirms and publishes notice; 30-min review window before final payout.</t>
  </si>
  <si>
    <t xml:space="preserve">As BTC.</t>
  </si>
  <si>
    <t xml:space="preserve">https://polymarket.com/event/ethereum-above-on-september-11-2026</t>
  </si>
  <si>
    <t xml:space="preserve">Pairs with SXF-ETHD.</t>
  </si>
  <si>
    <t xml:space="preserve">Second crypto anchor; limit strikes to avoid fragmenting liquidity.</t>
  </si>
  <si>
    <t xml:space="preserve">SXF-ETHD-26OCT30H17</t>
  </si>
  <si>
    <t xml:space="preserve">Underlying: 60-s average CF ETH index at 17:00 ET, 30 Oct 2026.</t>
  </si>
  <si>
    <t xml:space="preserve">(FSV − Entry) × 0.1 ETH.</t>
  </si>
  <si>
    <t xml:space="preserve">US$0.10 = US$0.01; band ±20%</t>
  </si>
  <si>
    <t xml:space="preserve">0.1 ETH</t>
  </si>
  <si>
    <t xml:space="preserve">FSV = 60-s average.</t>
  </si>
  <si>
    <t xml:space="preserve">STD-COM-01</t>
  </si>
  <si>
    <t xml:space="preserve">SX-WTI-26OCT30-T100</t>
  </si>
  <si>
    <t xml:space="preserve">Commodities</t>
  </si>
  <si>
    <t xml:space="preserve">Crude oil – WTI daily settlement</t>
  </si>
  <si>
    <t xml:space="preserve">Will the front-month WTI crude futures settlement price be above $100.00/bbl on Fri 30 Oct 2026? ($0.50 ladder)</t>
  </si>
  <si>
    <t xml:space="preserve">Kalshi (KXWTI, ICE-settled)</t>
  </si>
  <si>
    <t xml:space="preserve">K:KXWTI-26SEP1114-T101.99</t>
  </si>
  <si>
    <t xml:space="preserve">Last trade 14:29 ET</t>
  </si>
  <si>
    <t xml:space="preserve">Official daily settlement of named contract month, ~14:30 ET</t>
  </si>
  <si>
    <t xml:space="preserve">YES = 1 if settlement &gt; strike.</t>
  </si>
  <si>
    <t xml:space="preserve">Official daily settlement price of the named WTI contract month (Dec-26) – fix contract month and roll rule in terms; not intraday high.</t>
  </si>
  <si>
    <t xml:space="preserve">Source Agency: ICE (as Kalshi) / NYMEX CL settlement (licensed). SarvaeX oracle: automated ingest from Source Agency + independent second-source check; Settlement Committee confirms and publishes notice; 30-min review window before final payout.</t>
  </si>
  <si>
    <t xml:space="preserve">No settlement published: next business day. Price corrections by exchange before settlement notice applied.</t>
  </si>
  <si>
    <t xml:space="preserve">Kalshi: https://assets.kalshi.com/contract_terms/WTIMINMAX.pdf ; https://www.ice.com/report/10</t>
  </si>
  <si>
    <t xml:space="preserve">Pairs with SXF-WTI.</t>
  </si>
  <si>
    <t xml:space="preserve">17/25 Kalshi commodity rows pass quote gate. External hedge: NYMEX CL/ICE WTI (near-zero basis if same month).</t>
  </si>
  <si>
    <t xml:space="preserve">SXF-WTI-26OCT30</t>
  </si>
  <si>
    <t xml:space="preserve">Underlying: Official settlement of WTI Dec-26 futures on 30 Oct 2026 (US$/bbl).</t>
  </si>
  <si>
    <t xml:space="preserve">14:29 ET</t>
  </si>
  <si>
    <t xml:space="preserve">~14:30 ET</t>
  </si>
  <si>
    <t xml:space="preserve">(FSV − Entry) × 10 bbl.</t>
  </si>
  <si>
    <t xml:space="preserve">US$0.01 = US$0.10; band ±10%</t>
  </si>
  <si>
    <t xml:space="preserve">10 barrels</t>
  </si>
  <si>
    <t xml:space="preserve">FSV = official daily settlement.</t>
  </si>
  <si>
    <t xml:space="preserve">ICE/NYMEX (licensed). SarvaeX oracle: automated ingest from Source Agency + independent second-source check; Settlement Committee confirms and publishes notice; 30-min review window before final payout.</t>
  </si>
  <si>
    <t xml:space="preserve">CL/MCL hedge.</t>
  </si>
  <si>
    <t xml:space="preserve">STD-COM-02</t>
  </si>
  <si>
    <t xml:space="preserve">SX-WTIHI-26OCT-T110</t>
  </si>
  <si>
    <t xml:space="preserve">Crude oil – WTI monthly high (touch)</t>
  </si>
  <si>
    <t xml:space="preserve">Will WTI crude trade at or above $110/bbl at any time during October 2026? (touch ladder $90–$140)</t>
  </si>
  <si>
    <t xml:space="preserve">Polymarket (Pyth)</t>
  </si>
  <si>
    <t xml:space="preserve">P:3954346 (hit $105 in Sep)</t>
  </si>
  <si>
    <t xml:space="preserve">Second batch</t>
  </si>
  <si>
    <t xml:space="preserve">31 Oct 2026 23:59 ET (or on touch)</t>
  </si>
  <si>
    <t xml:space="preserve">On first touch; else NO</t>
  </si>
  <si>
    <t xml:space="preserve">Binary event contract (YES/NO). YES pays 1.00 USDC per contract if the Payout Criterion is met at Expiration, else 0. Price 0.01–0.99 USDC, tick 0.01; fully collateralised (max loss = premium). One-touch.</t>
  </si>
  <si>
    <t xml:space="preserve">YES = 1 if any qualifying price ≥ barrier during the month.</t>
  </si>
  <si>
    <t xml:space="preserve">Polymarket: Pyth WTI 1-min candle high. SarvaeX proposal: front-month official trade prints (licensed), roll schedule predefined.</t>
  </si>
  <si>
    <t xml:space="preserve">Source Agency: Pyth WTI feed (as Polymarket) or licensed exchange data. SarvaeX oracle: automated ingest from Source Agency + independent second-source check; Settlement Committee confirms and publishes notice; 30-min review window before final payout.</t>
  </si>
  <si>
    <t xml:space="preserve">Touch/daily-settle/intraday definitions must never be conflated (see Hedge Checks).</t>
  </si>
  <si>
    <t xml:space="preserve">https://polymarket.com/event/what-price-will-wti-hit-in-september-2026</t>
  </si>
  <si>
    <t xml:space="preserve">Pairs with lookback-high futures SXF-WTIHI.</t>
  </si>
  <si>
    <t xml:space="preserve">Hormuz-driven vol makes this very active.</t>
  </si>
  <si>
    <t xml:space="preserve">SXF-WTIHI-26OCT</t>
  </si>
  <si>
    <t xml:space="preserve">Underlying: Highest qualifying WTI price during Oct 2026 (lookback-high futures).</t>
  </si>
  <si>
    <t xml:space="preserve">31 Oct 23:59 ET</t>
  </si>
  <si>
    <t xml:space="preserve">31 Oct 2026</t>
  </si>
  <si>
    <t xml:space="preserve">Cash-settled linear event futures. Co-expires with the paired binary and settles to the same Source Agency value at the same Expiration (zero settlement basis). Daily MTM variation margin in USDC; cross-margined with the binary ladder. Lookback-high.</t>
  </si>
  <si>
    <t xml:space="preserve">(FSV − Entry) × 10 bbl; FSV = monthly max.</t>
  </si>
  <si>
    <t xml:space="preserve">US$0.01; band ±10%</t>
  </si>
  <si>
    <t xml:space="preserve">10 bbl</t>
  </si>
  <si>
    <t xml:space="preserve">FSV = maximum qualifying print in window.</t>
  </si>
  <si>
    <t xml:space="preserve">Same as binary. SarvaeX oracle: automated ingest from Source Agency + independent second-source check; Settlement Committee confirms and publishes notice; 30-min review window before final payout.</t>
  </si>
  <si>
    <t xml:space="preserve">Exact linear counterpart to touch ladder.</t>
  </si>
  <si>
    <t xml:space="preserve">Internal MM first.</t>
  </si>
  <si>
    <t xml:space="preserve">STD-COM-03</t>
  </si>
  <si>
    <t xml:space="preserve">SX-XAU-26OCT16-UP</t>
  </si>
  <si>
    <t xml:space="preserve">Gold – daily</t>
  </si>
  <si>
    <t xml:space="preserve">Will spot gold (XAU/USD) close Fri 16 Oct 2026 higher than its prior-day close?</t>
  </si>
  <si>
    <t xml:space="preserve">Polymarket (Pyth XAU/USD); Limitless (PAXG – different underlying)</t>
  </si>
  <si>
    <t xml:space="preserve">P:4436942</t>
  </si>
  <si>
    <t xml:space="preserve">REVIEW (14¢ spread)</t>
  </si>
  <si>
    <t xml:space="preserve">17:00 ET Pyth XAU/USD</t>
  </si>
  <si>
    <t xml:space="preserve">YES = 1 if close &gt; prior close.</t>
  </si>
  <si>
    <t xml:space="preserve">Pyth Metal.XAU/USD at 17:00 ET vs prior day 17:00 ET. Spot XAU ≠ PAXG token ≠ LBMA benchmark.</t>
  </si>
  <si>
    <t xml:space="preserve">Stale feed: next valid print within 5 min.</t>
  </si>
  <si>
    <t xml:space="preserve">https://polymarket.com/event/xauusd-up-or-down-on-september-11-2026</t>
  </si>
  <si>
    <t xml:space="preserve">Pairs with SXF-XAU.</t>
  </si>
  <si>
    <t xml:space="preserve">Weak external book – SarvaeX MM must seed. Regional LBMA version in Sheet 2.</t>
  </si>
  <si>
    <t xml:space="preserve">SXF-XAU-26OCT16</t>
  </si>
  <si>
    <t xml:space="preserve">Underlying: Pyth XAU/USD at 17:00 ET, 16 Oct 2026.</t>
  </si>
  <si>
    <t xml:space="preserve">(FSV − Entry) × 1 troy oz.</t>
  </si>
  <si>
    <t xml:space="preserve">US$0.10; band ±6%</t>
  </si>
  <si>
    <t xml:space="preserve">1 troy oz</t>
  </si>
  <si>
    <t xml:space="preserve">FSV = Pyth XAU/USD.</t>
  </si>
  <si>
    <t xml:space="preserve">COMEX GC/MGC hedge.</t>
  </si>
  <si>
    <t xml:space="preserve">STD-CLI-01</t>
  </si>
  <si>
    <t xml:space="preserve">SX-HIGHNY-26OCT15-B64.5</t>
  </si>
  <si>
    <t xml:space="preserve">Climate</t>
  </si>
  <si>
    <t xml:space="preserve">Weather – US city daily maximum temperature</t>
  </si>
  <si>
    <t xml:space="preserve">Will the maximum temperature in New York City (Central Park) be 64–65°F on Thu 15 Oct 2026? (2°F brackets + tails)</t>
  </si>
  <si>
    <t xml:space="preserve">Kalshi (KXHIGH, 20 cities); Polymarket (Wunderground)</t>
  </si>
  <si>
    <t xml:space="preserve">K:KXHIGHNY-26SEP11-B83.5</t>
  </si>
  <si>
    <t xml:space="preserve">REVIEW (0/25 climate rows pass)</t>
  </si>
  <si>
    <t xml:space="preserve">Last trade 23:59 local on the day</t>
  </si>
  <si>
    <t xml:space="preserve">Next morning, after final daily climate report</t>
  </si>
  <si>
    <t xml:space="preserve">Binary event contract (YES/NO). YES pays 1.00 USDC per contract if the Payout Criterion is met at Expiration, else 0. Price 0.01–0.99 USDC, tick 0.01; fully collateralised (max loss = premium). Mutually exclusive brackets.</t>
  </si>
  <si>
    <t xml:space="preserve">YES = 1 if recorded max in bracket.</t>
  </si>
  <si>
    <t xml:space="preserve">Daily maximum at the named station (Central Park, KNYC) for the local-standard-time climate day (runs 01:00–00:59 during DST).</t>
  </si>
  <si>
    <t xml:space="preserve">Kalshi current rules: The Weather Company (weather.com/kalshi); terms PDF hierarchy: NWS then national met service. SarvaeX: NWS Daily Climate Report (CLI) primary. SarvaeX oracle: automated ingest from Source Agency + independent second-source check; Settlement Committee confirms and publishes notice; 30-min review window before final payout.</t>
  </si>
  <si>
    <t xml:space="preserve">Kalshi tightened weather rules on 3 Sep 2026 amid manipulation concerns – adopt: inconsistent 6h/24h readings delay settlement for review.</t>
  </si>
  <si>
    <t xml:space="preserve">Kalshi: https://assets.kalshi.com/contract_terms/GLOBALTEMPERATURE.pdf ; https://help.kalshi.com/en/articles/13823837-weather-markets</t>
  </si>
  <si>
    <t xml:space="preserve">Pairs with SXF-HIGHNY (settles to °F).</t>
  </si>
  <si>
    <t xml:space="preserve">Thin books (US$2k–20k/day per city) – template value &gt; liquidity value.</t>
  </si>
  <si>
    <t xml:space="preserve">P2 – template</t>
  </si>
  <si>
    <t xml:space="preserve">SXF-HIGHNY-26OCT15</t>
  </si>
  <si>
    <t xml:space="preserve">Underlying: Official daily maximum temperature (°F), Central Park, 15 Oct 2026.</t>
  </si>
  <si>
    <t xml:space="preserve">23:59 local</t>
  </si>
  <si>
    <t xml:space="preserve">Next morning CLI</t>
  </si>
  <si>
    <t xml:space="preserve">(FSV − Entry) × US$10 per °F.</t>
  </si>
  <si>
    <t xml:space="preserve">0.1°F = US$1; band ±15°F</t>
  </si>
  <si>
    <t xml:space="preserve">US$10 per °F</t>
  </si>
  <si>
    <t xml:space="preserve">FSV = official daily max (integer °F).</t>
  </si>
  <si>
    <t xml:space="preserve">NWS CLI. SarvaeX oracle: automated ingest from Source Agency + independent second-source check; Settlement Committee confirms and publishes notice; 30-min review window before final payout.</t>
  </si>
  <si>
    <t xml:space="preserve">Delta-1 for bracket strip (classic weather future).</t>
  </si>
  <si>
    <t xml:space="preserve">CME weather futures (HDD/CDD) basis.</t>
  </si>
  <si>
    <t xml:space="preserve">STD-CLI-02</t>
  </si>
  <si>
    <t xml:space="preserve">SX-RAINPHL-26OCT15</t>
  </si>
  <si>
    <t xml:space="preserve">Weather – daily rainfall</t>
  </si>
  <si>
    <t xml:space="preserve">Will measurable rain (≥0.01 in) fall in Philadelphia on Thu 15 Oct 2026?</t>
  </si>
  <si>
    <t xml:space="preserve">Kalshi (KXRAIN)</t>
  </si>
  <si>
    <t xml:space="preserve">K:KXRAIN-26SEP11-PHIL</t>
  </si>
  <si>
    <t xml:space="preserve">Next morning</t>
  </si>
  <si>
    <t xml:space="preserve">YES = 1 if daily precipitation ≥ 0.01 in (trace = NO).</t>
  </si>
  <si>
    <t xml:space="preserve">Daily precipitation at named station for the climate day.</t>
  </si>
  <si>
    <t xml:space="preserve">The Weather Company (Kalshi) / NWS CLI (SarvaeX). SarvaeX oracle: automated ingest from Source Agency + independent second-source check; Settlement Committee confirms and publishes notice; 30-min review window before final payout.</t>
  </si>
  <si>
    <t xml:space="preserve">Missing data: next CLI issuance; else void.</t>
  </si>
  <si>
    <t xml:space="preserve">Kalshi: https://assets.kalshi.com/contract_terms/RAINGLOBALPERIOD.pdf</t>
  </si>
  <si>
    <t xml:space="preserve">Pairs with SXF-RAINPHL (inches).</t>
  </si>
  <si>
    <t xml:space="preserve">Template for Mumbai monsoon contract (Sheet 2).</t>
  </si>
  <si>
    <t xml:space="preserve">SXF-RAINPHL-26OCT15</t>
  </si>
  <si>
    <t xml:space="preserve">Underlying: Daily precipitation (inches), Philadelphia station, 15 Oct 2026.</t>
  </si>
  <si>
    <t xml:space="preserve">(FSV − Entry) × US$100 per inch.</t>
  </si>
  <si>
    <t xml:space="preserve">0.01 in = US$1</t>
  </si>
  <si>
    <t xml:space="preserve">US$100 per inch</t>
  </si>
  <si>
    <t xml:space="preserve">FSV = official daily precipitation.</t>
  </si>
  <si>
    <t xml:space="preserve">STD-GEO-01</t>
  </si>
  <si>
    <t xml:space="preserve">SX-HORMUZW-26OCT18-T40</t>
  </si>
  <si>
    <t xml:space="preserve">Geopolitics / Shipping</t>
  </si>
  <si>
    <t xml:space="preserve">Strait of Hormuz – weekly transit calls</t>
  </si>
  <si>
    <t xml:space="preserve">Will there be more than 40 transit calls through the Strait of Hormuz in the week 12–18 Oct 2026, per IMF PortWatch?</t>
  </si>
  <si>
    <t xml:space="preserve">Kalshi (KXHORMUZWEEKLY)</t>
  </si>
  <si>
    <t xml:space="preserve">K:KXHORMUZWEEKLY-26SEP13-T40</t>
  </si>
  <si>
    <t xml:space="preserve">Sun 18 Oct 2026 23:59 UTC</t>
  </si>
  <si>
    <t xml:space="preserve">After IMF PortWatch publishes the week's data (allow up to 7 days)</t>
  </si>
  <si>
    <t xml:space="preserve">YES = 1 if sum of daily transit calls in window &gt; 40.</t>
  </si>
  <si>
    <t xml:space="preserve">Sum of daily 'transit calls' for the Strait of Hormuz chokepoint on IMF PortWatch for the named 7 days.</t>
  </si>
  <si>
    <t xml:space="preserve">Source Agency: IMF PortWatch chokepoint page (portwatch.imf.org/pages/chokepoint6). Note: Kalshi series metadata conflicts with market rule – SarvaeX names PortWatch explicitly. SarvaeX oracle: automated ingest from Source Agency + independent second-source check; Settlement Committee confirms and publishes notice; 30-min review window before final payout.</t>
  </si>
  <si>
    <t xml:space="preserve">PortWatch revisions after first publication ignored; if not published within 14 days, settle on Lloyd's List / Kpler count (licensed) per terms.</t>
  </si>
  <si>
    <t xml:space="preserve">Kalshi: https://assets.kalshi.com/contract_terms/POLITICALSTAT.pdf ; https://kalshi.com/markets/kxhormuzweekly</t>
  </si>
  <si>
    <t xml:space="preserve">Pairs with SXF-HORMUZW (count futures).</t>
  </si>
  <si>
    <t xml:space="preserve">Directly relevant to Gulf/India users; correlated with Brent – MMs can cross-hedge in Brent with basis.</t>
  </si>
  <si>
    <t xml:space="preserve">P1 – regional priority</t>
  </si>
  <si>
    <t xml:space="preserve">SXF-HORMUZW-26OCT18</t>
  </si>
  <si>
    <t xml:space="preserve">Underlying: Total IMF PortWatch transit calls, Strait of Hormuz, 12–18 Oct 2026.</t>
  </si>
  <si>
    <t xml:space="preserve">18 Oct 23:59 UTC</t>
  </si>
  <si>
    <t xml:space="preserve">On publication</t>
  </si>
  <si>
    <t xml:space="preserve">(FSV − Entry) × US$1 per transit call.</t>
  </si>
  <si>
    <t xml:space="preserve">1 call = US$1; band ±100</t>
  </si>
  <si>
    <t xml:space="preserve">US$1 per call</t>
  </si>
  <si>
    <t xml:space="preserve">FSV = weekly sum.</t>
  </si>
  <si>
    <t xml:space="preserve">IMF PortWatch. SarvaeX oracle: automated ingest from Source Agency + independent second-source check; Settlement Committee confirms and publishes notice; 30-min review window before final payout.</t>
  </si>
  <si>
    <t xml:space="preserve">https://portwatch.imf.org/</t>
  </si>
  <si>
    <t xml:space="preserve">Proxy: Brent, tanker rates.</t>
  </si>
  <si>
    <t xml:space="preserve">STD-GEO-02</t>
  </si>
  <si>
    <t xml:space="preserve">SX-HORMUZN-27JAN01</t>
  </si>
  <si>
    <t xml:space="preserve">Strait of Hormuz – normalisation</t>
  </si>
  <si>
    <t xml:space="preserve">Will the 7-day moving average of Strait of Hormuz transit calls (IMF PortWatch) exceed 60 before 1 Jan 2027?</t>
  </si>
  <si>
    <t xml:space="preserve">Kalshi (KXHORMUZNORM); Polymarket; Limitless</t>
  </si>
  <si>
    <t xml:space="preserve">K:KXHORMUZNORM-26MAR17-B270101</t>
  </si>
  <si>
    <t xml:space="preserve">31 Dec 2026 23:59 UTC (or on trigger)</t>
  </si>
  <si>
    <t xml:space="preserve">On first qualifying PortWatch publication; else NO</t>
  </si>
  <si>
    <t xml:space="preserve">Binary event contract (YES/NO). YES pays 1.00 USDC per contract if the Payout Criterion is met at Expiration, else 0. Price 0.01–0.99 USDC, tick 0.01; fully collateralised (max loss = premium). One-touch on a data series.</t>
  </si>
  <si>
    <t xml:space="preserve">YES = 1 if any published 7-day MA &gt; 60 in window.</t>
  </si>
  <si>
    <t xml:space="preserve">7-day moving average of daily transit calls as displayed/computed from IMF PortWatch (Polymarket threshold ≥60; Kalshi &gt;60 – align).</t>
  </si>
  <si>
    <t xml:space="preserve">Source Agency: IMF PortWatch. SarvaeX oracle: automated ingest from Source Agency + independent second-source check; Settlement Committee confirms and publishes notice; 30-min review window before final payout.</t>
  </si>
  <si>
    <t xml:space="preserve">As weekly. Defer auto-hedging until source conflict is resolved (source file 'ServX Decisions').</t>
  </si>
  <si>
    <t xml:space="preserve">https://kalshi.com/markets/kxhormuznorm ; https://polymarket.com/event/strait-of-hormuz-traffic-returns-to-normal-by-december-31</t>
  </si>
  <si>
    <t xml:space="preserve">Pairs with SXF-HORMUZMA (7-day MA level on 31 Dec).</t>
  </si>
  <si>
    <t xml:space="preserve">Polymarket equivalent US$216k/24h at 18–19¢.</t>
  </si>
  <si>
    <t xml:space="preserve">P2 – after source audit</t>
  </si>
  <si>
    <t xml:space="preserve">SXF-HORMUZMA-26DEC31</t>
  </si>
  <si>
    <t xml:space="preserve">Underlying: IMF PortWatch 7-day MA of Hormuz transit calls on 31 Dec 2026.</t>
  </si>
  <si>
    <t xml:space="preserve">31 Dec 23:59 UTC</t>
  </si>
  <si>
    <t xml:space="preserve">(FSV − Entry) × US$5 per 1.0 transit.</t>
  </si>
  <si>
    <t xml:space="preserve">0.1 = US$0.50</t>
  </si>
  <si>
    <t xml:space="preserve">US$5 per unit of MA</t>
  </si>
  <si>
    <t xml:space="preserve">FSV = 7-day MA for window ending 31 Dec.</t>
  </si>
  <si>
    <t xml:space="preserve">Terminal-level hedge (basis to touch binary).</t>
  </si>
  <si>
    <t xml:space="preserve">STD-ELE-01</t>
  </si>
  <si>
    <t xml:space="preserve">SX-USHOUSE-26-R</t>
  </si>
  <si>
    <t xml:space="preserve">Elections</t>
  </si>
  <si>
    <t xml:space="preserve">US midterms – House control</t>
  </si>
  <si>
    <t xml:space="preserve">Will the Republican Party control the US House after the 3 Nov 2026 midterm elections?</t>
  </si>
  <si>
    <t xml:space="preserve">Kalshi (CONTROLH); Polymarket; Limitless</t>
  </si>
  <si>
    <t xml:space="preserve">K:CONTROLH-2026-R</t>
  </si>
  <si>
    <t xml:space="preserve">On determination (media consensus) or 1 Feb 2027</t>
  </si>
  <si>
    <t xml:space="preserve">Certification / Speaker election</t>
  </si>
  <si>
    <t xml:space="preserve">YES = 1 if Republicans control the chamber per terms.</t>
  </si>
  <si>
    <t xml:space="preserve">Kalshi: early media consensus, else party of Speaker on 1 Feb 2027. Polymarket: voting-seat majority, then first-Speaker fallback. SarvaeX should pick one and document it.</t>
  </si>
  <si>
    <t xml:space="preserve">Source Agency: congress.gov (Library of Congress) per Kalshi; AP race calls as evidence. SarvaeX oracle: automated ingest from Source Agency + independent second-source check; Settlement Committee confirms and publishes notice; 30-min review window before final payout.</t>
  </si>
  <si>
    <t xml:space="preserve">Material definition mismatch vs Polymarket – not approved for automated hedging.</t>
  </si>
  <si>
    <t xml:space="preserve">Kalshi: https://assets.kalshi.com/contract_terms/CONTROL.pdf</t>
  </si>
  <si>
    <t xml:space="preserve">Pairs with SXF-USHOUSE-R (seat count). Control = seats ≥218, so binary = digital on the futures.</t>
  </si>
  <si>
    <t xml:space="preserve">Largest political book in snapshot; share MM with Kalshi only after rule alignment.</t>
  </si>
  <si>
    <t xml:space="preserve">SXF-USHOUSE-R-26</t>
  </si>
  <si>
    <t xml:space="preserve">Underlying: Number of House seats won by Republican candidates in the 2026 general election.</t>
  </si>
  <si>
    <t xml:space="preserve">On AP calls of all 435 seats or 1 Feb 2027</t>
  </si>
  <si>
    <t xml:space="preserve">Final certified count</t>
  </si>
  <si>
    <t xml:space="preserve">(FSV − Entry) × US$1 per seat.</t>
  </si>
  <si>
    <t xml:space="preserve">0.5 seat = US$0.50; band ±40</t>
  </si>
  <si>
    <t xml:space="preserve">US$1 per seat</t>
  </si>
  <si>
    <t xml:space="preserve">FSV = seats won by Republican nominees per certified results (independents excluded; vacancies per terms).</t>
  </si>
  <si>
    <t xml:space="preserve">State certifications/congress.gov; AP as evidence. SarvaeX oracle: automated ingest from Source Agency + independent second-source check; Settlement Committee confirms and publishes notice; 30-min review window before final payout.</t>
  </si>
  <si>
    <t xml:space="preserve">Uncalled seats at cutoff settle per certification.</t>
  </si>
  <si>
    <t xml:space="preserve">Linear hedge for control binary and seat-bucket ladder.</t>
  </si>
  <si>
    <t xml:space="preserve">Kalshi seat-count markets.</t>
  </si>
  <si>
    <t xml:space="preserve">STD-ELE-02</t>
  </si>
  <si>
    <t xml:space="preserve">SX-USSENATE-26-R</t>
  </si>
  <si>
    <t xml:space="preserve">US midterms – Senate control</t>
  </si>
  <si>
    <t xml:space="preserve">Will the Republican Party control the US Senate after the 3 Nov 2026 midterm elections?</t>
  </si>
  <si>
    <t xml:space="preserve">Kalshi; Polymarket; Opinion</t>
  </si>
  <si>
    <t xml:space="preserve">Not in snapshot (Kalshi ~57–58¢ R, per covers.com / nextpredict)</t>
  </si>
  <si>
    <t xml:space="preserve">On determination or 1 Feb 2027</t>
  </si>
  <si>
    <t xml:space="preserve">Certification</t>
  </si>
  <si>
    <t xml:space="preserve">YES = 1 if R controls (≥51 seats, or 50 + VP).</t>
  </si>
  <si>
    <t xml:space="preserve">Majority of voting seats; 50–50 decided by VP party (VP is Republican).</t>
  </si>
  <si>
    <t xml:space="preserve">congress.gov; AP. SarvaeX oracle: automated ingest from Source Agency + independent second-source check; Settlement Committee confirms and publishes notice; 30-min review window before final payout.</t>
  </si>
  <si>
    <t xml:space="preserve">As House.</t>
  </si>
  <si>
    <t xml:space="preserve">https://assets.kalshi.com/contract_terms/CONTROL.pdf</t>
  </si>
  <si>
    <t xml:space="preserve">Pairs with SXF-USSENATE-R.</t>
  </si>
  <si>
    <t xml:space="preserve">Texas race is largest single Senate book on Kalshi.</t>
  </si>
  <si>
    <t xml:space="preserve">SXF-USSENATE-R-26</t>
  </si>
  <si>
    <t xml:space="preserve">Underlying: Republican Senate seats after the 2026 elections (incl. holdovers).</t>
  </si>
  <si>
    <t xml:space="preserve">1 Feb 2027 latest</t>
  </si>
  <si>
    <t xml:space="preserve">(FSV − Entry) × US$5 per seat.</t>
  </si>
  <si>
    <t xml:space="preserve">0.5 seat; band ±8</t>
  </si>
  <si>
    <t xml:space="preserve">US$5 per seat</t>
  </si>
  <si>
    <t xml:space="preserve">FSV = R-caucus seats per terms.</t>
  </si>
  <si>
    <t xml:space="preserve">congress.gov. SarvaeX oracle: automated ingest from Source Agency + independent second-source check; Settlement Committee confirms and publishes notice; 30-min review window before final payout.</t>
  </si>
  <si>
    <t xml:space="preserve">STD-ELE-03</t>
  </si>
  <si>
    <t xml:space="preserve">SX-PRESNOMD-28-{CAND}</t>
  </si>
  <si>
    <t xml:space="preserve">US 2028 – Democratic nominee</t>
  </si>
  <si>
    <t xml:space="preserve">Will &lt;candidate&gt; be the 2028 Democratic presidential nominee? (one binary per candidate)</t>
  </si>
  <si>
    <t xml:space="preserve">Kalshi (KXPRESNOMD); Polymarket; Limitless</t>
  </si>
  <si>
    <t xml:space="preserve">K:KXPRESNOMD-28-JOSS</t>
  </si>
  <si>
    <t xml:space="preserve">On formal nomination (Aug 2028)</t>
  </si>
  <si>
    <t xml:space="preserve">Party convention nomination</t>
  </si>
  <si>
    <t xml:space="preserve">Binary event contract (YES/NO). YES pays 1.00 USDC per contract if the Payout Criterion is met at Expiration, else 0. Price 0.01–0.99 USDC, tick 0.01; fully collateralised (max loss = premium). Categorical multi-outcome.</t>
  </si>
  <si>
    <t xml:space="preserve">YES = 1 if candidate formally nominated.</t>
  </si>
  <si>
    <t xml:space="preserve">Formal nomination by the Democratic National Convention.</t>
  </si>
  <si>
    <t xml:space="preserve">Source Agency: Democratic Party (per Kalshi PRESNOM terms). SarvaeX oracle: automated ingest from Source Agency + independent second-source check; Settlement Committee confirms and publishes notice; 30-min review window before final payout.</t>
  </si>
  <si>
    <t xml:space="preserve">Replacement/withdrawal rules per terms.</t>
  </si>
  <si>
    <t xml:space="preserve">https://assets.kalshi.com/contract_terms/PRESNOM.pdf</t>
  </si>
  <si>
    <t xml:space="preserve">No linear futures counterpart – categorical outcome. Hedge via complementary binaries across candidates.</t>
  </si>
  <si>
    <t xml:space="preserve">Long-dated capital lock-up; lower priority for SarvaeX region.</t>
  </si>
  <si>
    <t xml:space="preserve">No futures leg: categorical event has no natural scalar underlying (delegate-share futures considered, rejected for complexity).</t>
  </si>
  <si>
    <t xml:space="preserve">Binary-only family</t>
  </si>
  <si>
    <t xml:space="preserve">STD-SPT-01</t>
  </si>
  <si>
    <t xml:space="preserve">SX-NFL-{GAME}-{TEAM}</t>
  </si>
  <si>
    <t xml:space="preserve">Sports</t>
  </si>
  <si>
    <t xml:space="preserve">American football – NFL game</t>
  </si>
  <si>
    <t xml:space="preserve">Will &lt;Team A&gt; beat &lt;Team B&gt; in their NFL regular-season game (incl. overtime)?</t>
  </si>
  <si>
    <t xml:space="preserve">Kalshi (sports ≈80–87% of Kalshi volume); Polymarket</t>
  </si>
  <si>
    <t xml:space="preserve">Kalshi SF 49ers v LA Rams, 11 Sep 2026: US$94.4m game volume (kalshi.com)</t>
  </si>
  <si>
    <t xml:space="preserve">USD game volume (Kalshi)</t>
  </si>
  <si>
    <t xml:space="preserve">Not in file (sports excluded)</t>
  </si>
  <si>
    <t xml:space="preserve">Game start (or in-play to final whistle)</t>
  </si>
  <si>
    <t xml:space="preserve">Official final result</t>
  </si>
  <si>
    <t xml:space="preserve">YES = 1 if Team A wins; tie → per terms (typically NO for both / refund).</t>
  </si>
  <si>
    <t xml:space="preserve">Official final score as published by the NFL, including overtime.</t>
  </si>
  <si>
    <t xml:space="preserve">Source Agency: official league result via licensed data provider (e.g., Sportradar). SarvaeX oracle: automated ingest from Source Agency + independent second-source check; Settlement Committee confirms and publishes notice; 30-min review window before final payout.</t>
  </si>
  <si>
    <t xml:space="preserve">Postponed &gt;48 h / cancelled: void and refund.</t>
  </si>
  <si>
    <t xml:space="preserve">https://kalshi.com/ (sports markets)</t>
  </si>
  <si>
    <t xml:space="preserve">Pairs with SXF-NFL margin futures (spread-style).</t>
  </si>
  <si>
    <t xml:space="preserve">Global volume leader but US-centric; sports data rights &amp; DFSA/UAE gaming policy must be cleared.</t>
  </si>
  <si>
    <t xml:space="preserve">P2 – legal gating</t>
  </si>
  <si>
    <t xml:space="preserve">SXF-NFLMGN-{GAME}</t>
  </si>
  <si>
    <t xml:space="preserve">Underlying: Final points margin (Team A score − Team B score).</t>
  </si>
  <si>
    <t xml:space="preserve">Kick-off / final whistle</t>
  </si>
  <si>
    <t xml:space="preserve">Official final</t>
  </si>
  <si>
    <t xml:space="preserve">0.5 pt; band ±40</t>
  </si>
  <si>
    <t xml:space="preserve">FSV = official final margin incl. OT.</t>
  </si>
  <si>
    <t xml:space="preserve">Official league result. SarvaeX oracle: automated ingest from Source Agency + independent second-source check; Settlement Committee confirms and publishes notice; 30-min review window before final payout.</t>
  </si>
  <si>
    <t xml:space="preserve">Void as binary.</t>
  </si>
  <si>
    <t xml:space="preserve">Moneyline binary = digital on margin &gt; 0.</t>
  </si>
  <si>
    <t xml:space="preserve">STD-SPT-02</t>
  </si>
  <si>
    <t xml:space="preserve">SX-EPL-{MATCH}-{1X2}</t>
  </si>
  <si>
    <t xml:space="preserve">Football (soccer) – EPL / UCL match</t>
  </si>
  <si>
    <t xml:space="preserve">Will &lt;Home&gt; beat &lt;Away&gt; in 90 minutes + stoppage time? (Home / Draw / Away)</t>
  </si>
  <si>
    <t xml:space="preserve">Kalshi; Polymarket (La Liga, Bundesliga, EPL books)</t>
  </si>
  <si>
    <t xml:space="preserve">DeFi Rate: Polymarket sports US$2.39bn monthly (Sep 2026)</t>
  </si>
  <si>
    <t xml:space="preserve">Kick-off (or in-play)</t>
  </si>
  <si>
    <t xml:space="preserve">Official full-time result</t>
  </si>
  <si>
    <t xml:space="preserve">Binary event contract (YES/NO). YES pays 1.00 USDC per contract if the Payout Criterion is met at Expiration, else 0. Price 0.01–0.99 USDC, tick 0.01; fully collateralised (max loss = premium). 1X2 outcome set.</t>
  </si>
  <si>
    <t xml:space="preserve">YES = 1 if outcome occurs.</t>
  </si>
  <si>
    <t xml:space="preserve">Result after regulation time + stoppage; extra time/penalties excluded.</t>
  </si>
  <si>
    <t xml:space="preserve">Official competition result via licensed provider. SarvaeX oracle: automated ingest from Source Agency + independent second-source check; Settlement Committee confirms and publishes notice; 30-min review window before final payout.</t>
  </si>
  <si>
    <t xml:space="preserve">Abandoned: official result if declared within 48 h, else void.</t>
  </si>
  <si>
    <t xml:space="preserve">Pairs with goal-difference futures.</t>
  </si>
  <si>
    <t xml:space="preserve">EPL has huge India/Gulf/Asia following – strong regional crossover.</t>
  </si>
  <si>
    <t xml:space="preserve">SXF-EPLGD-{MATCH}</t>
  </si>
  <si>
    <t xml:space="preserve">Underlying: Goal difference (Home − Away) at full time.</t>
  </si>
  <si>
    <t xml:space="preserve">Kick-off</t>
  </si>
  <si>
    <t xml:space="preserve">Full time</t>
  </si>
  <si>
    <t xml:space="preserve">(FSV − Entry) × US$10 per goal.</t>
  </si>
  <si>
    <t xml:space="preserve">0.05 goal; band ±6</t>
  </si>
  <si>
    <t xml:space="preserve">US$10 per goal</t>
  </si>
  <si>
    <t xml:space="preserve">FSV = official goal difference.</t>
  </si>
  <si>
    <t xml:space="preserve">Official result. SarvaeX oracle: automated ingest from Source Agency + independent second-source check; Settlement Committee confirms and publishes notice; 30-min review window before final payout.</t>
  </si>
  <si>
    <t xml:space="preserve">1X2 = digitals on GD &gt;0, =0, &lt;0.</t>
  </si>
  <si>
    <t xml:space="preserve">STD-SPT-03</t>
  </si>
  <si>
    <t xml:space="preserve">SX-ATP-{MATCH}-{PLAYER}</t>
  </si>
  <si>
    <t xml:space="preserve">Tennis – ATP/WTA match</t>
  </si>
  <si>
    <t xml:space="preserve">Will &lt;Player A&gt; win the match vs &lt;Player B&gt;?</t>
  </si>
  <si>
    <t xml:space="preserve">Kalshi; Polymarket</t>
  </si>
  <si>
    <t xml:space="preserve">Kalshi Zverev v Halys: US$15.5m 24h; Polymarket US Open men's winner US$25m (Sep 2026)</t>
  </si>
  <si>
    <t xml:space="preserve">USD 24h (Kalshi, DeFi Rate)</t>
  </si>
  <si>
    <t xml:space="preserve">Match start / in-play</t>
  </si>
  <si>
    <t xml:space="preserve">Official result</t>
  </si>
  <si>
    <t xml:space="preserve">YES = 1 if Player A wins (incl. opponent retirement after first ball).</t>
  </si>
  <si>
    <t xml:space="preserve">Official ATP/WTA/ITF result.</t>
  </si>
  <si>
    <t xml:space="preserve">Official tour result via licensed provider. SarvaeX oracle: automated ingest from Source Agency + independent second-source check; Settlement Committee confirms and publishes notice; 30-min review window before final payout.</t>
  </si>
  <si>
    <t xml:space="preserve">Walkover before first ball: void.</t>
  </si>
  <si>
    <t xml:space="preserve">Pairs with total-games futures.</t>
  </si>
  <si>
    <t xml:space="preserve">High 24/7 global flow incl. Asian sessions.</t>
  </si>
  <si>
    <t xml:space="preserve">SXF-ATPGAMES-{MATCH}</t>
  </si>
  <si>
    <t xml:space="preserve">Underlying: Games won by Player A minus games won by Player B.</t>
  </si>
  <si>
    <t xml:space="preserve">Match start</t>
  </si>
  <si>
    <t xml:space="preserve">(FSV − Entry) × US$1 per game.</t>
  </si>
  <si>
    <t xml:space="preserve">0.5 game</t>
  </si>
  <si>
    <t xml:space="preserve">US$1 per game</t>
  </si>
  <si>
    <t xml:space="preserve">FSV = official game differential.</t>
  </si>
  <si>
    <t xml:space="preserve">Retirement: settle on completed games per terms.</t>
  </si>
  <si>
    <t xml:space="preserve">Correlated (not exact) hedge for winner binary.</t>
  </si>
  <si>
    <t xml:space="preserve">SarvaeX – Regional Retail Contracts (India · Asia · Middle East · Europe) – Binary + Co-expiring Futures</t>
  </si>
  <si>
    <t xml:space="preserve">Group 2: new or adapted contracts for SarvaeX's target markets, written for website listing. Structure and oracle framework follow Kalshi's contract-terms layout. Strikes/dates are samples as of 12 Sep 2026 – series roll to the next event.</t>
  </si>
  <si>
    <t xml:space="preserve">Region</t>
  </si>
  <si>
    <t xml:space="preserve">Website title (short)</t>
  </si>
  <si>
    <t xml:space="preserve">Website question (Binary) / Underlying (Futures)</t>
  </si>
  <si>
    <t xml:space="preserve">Why now – topic driver</t>
  </si>
  <si>
    <t xml:space="preserve">Topic ref</t>
  </si>
  <si>
    <t xml:space="preserve">Nearest liquid analogue (venue / ID)</t>
  </si>
  <si>
    <t xml:space="preserve">Fallback &amp; contingencies</t>
  </si>
  <si>
    <t xml:space="preserve">Documentation / Source URL</t>
  </si>
  <si>
    <t xml:space="preserve">Liquidity plan (MM / external hedge)</t>
  </si>
  <si>
    <t xml:space="preserve">Regulatory / integrity flags</t>
  </si>
  <si>
    <t xml:space="preserve">Priority / Readiness</t>
  </si>
  <si>
    <t xml:space="preserve">REG-IND-01</t>
  </si>
  <si>
    <t xml:space="preserve">SX-RBIDEC-26OCT-H25</t>
  </si>
  <si>
    <t xml:space="preserve">India</t>
  </si>
  <si>
    <t xml:space="preserve">Economics – central bank</t>
  </si>
  <si>
    <t xml:space="preserve">RBI Oct policy: rate hike?</t>
  </si>
  <si>
    <t xml:space="preserve">Will the RBI raise the policy repo rate by 25 bp at the 5–7 Oct 2026 MPC meeting? (Outcome set: Cut / Hold / Hike 25 / Hike &gt;25)</t>
  </si>
  <si>
    <t xml:space="preserve">RBI held repo at 5.25% (neutral) for a 4th straight meeting on 5 Aug amid the West Asia war; CPI above 4% target two months running; next MPC 5–7 Oct 2026. Direct local analogue of the Fed decision – the #1 macro family globally.</t>
  </si>
  <si>
    <t xml:space="preserve">T03, T04</t>
  </si>
  <si>
    <t xml:space="preserve">K:KXFEDDECISION-26SEP-H0 (template); no live RBI market found</t>
  </si>
  <si>
    <t xml:space="preserve">Last trade 7 Oct 2026 09:59 IST</t>
  </si>
  <si>
    <t xml:space="preserve">MPC resolution release, 7 Oct 2026 ~10:00 IST</t>
  </si>
  <si>
    <t xml:space="preserve">Binary event contract (YES/NO). YES pays 1.00 USDC per contract if the Payout Criterion is met at Expiration, else 0. Price 0.01–0.99 USDC, tick 0.01; fully collateralised (max loss = premium). Mutually exclusive outcome set.</t>
  </si>
  <si>
    <t xml:space="preserve">YES = 1 if new repo − prior repo = +0.25 pp.</t>
  </si>
  <si>
    <t xml:space="preserve">Policy repo rate under the LAF stated in the MPC resolution vs the rate immediately before. Repo only – not SDF/MSF/CRR. Stance changes irrelevant.</t>
  </si>
  <si>
    <t xml:space="preserve">Source Agency: Reserve Bank of India – 'Monetary Policy Statement / Resolution of the MPC' press release (rbi.org.in). SarvaeX oracle: automated ingest from Source Agency + independent second-source check; Settlement Committee confirms and publishes notice; 30-min review window before final payout.</t>
  </si>
  <si>
    <t xml:space="preserve">Meeting postponed &gt;7 days: resolves Hold. Unscheduled inter-meeting change before Expiration counts. English-language release governs.</t>
  </si>
  <si>
    <t xml:space="preserve">https://www.rbi.org.in/Scripts/BS_PressReleaseDisplay.aspx ; template: https://assets.kalshi.com/contract_terms/FEDDECISION.pdf</t>
  </si>
  <si>
    <t xml:space="preserve">Pairs with SXF-RBIREPO. Futures = expected repo; binary buckets = its distribution.</t>
  </si>
  <si>
    <t xml:space="preserve">No external venue – SarvaeX Tier-1 MM seeds both legs; hedge proxies: OIS (MIBOR) via partner bank, INR rate futures (basis).</t>
  </si>
  <si>
    <t xml:space="preserve">Indian residents: RBI/FEMA &amp; SEBI constraints; Online Gaming Act 2025 bars real-money online games – geo-fence India until counsel clears. List for GCC/Asia/EU users via DIFC/DFSA framework.</t>
  </si>
  <si>
    <t xml:space="preserve">P1 – Pilot first</t>
  </si>
  <si>
    <t xml:space="preserve">SXF-RBIREPO-26OCT</t>
  </si>
  <si>
    <t xml:space="preserve">RBI repo rate (Oct futures)</t>
  </si>
  <si>
    <t xml:space="preserve">Underlying: RBI policy repo rate (%) announced at the 5–7 Oct 2026 MPC meeting.</t>
  </si>
  <si>
    <t xml:space="preserve">7 Oct 09:59 IST</t>
  </si>
  <si>
    <t xml:space="preserve">7 Oct ~10:00 IST</t>
  </si>
  <si>
    <t xml:space="preserve">(FSV − Entry) × US$100 per 1.00 pp (quanto USDC).</t>
  </si>
  <si>
    <t xml:space="preserve">FSV = repo rate stated in the MPC resolution (e.g., 5.25).</t>
  </si>
  <si>
    <t xml:space="preserve">RBI. SarvaeX oracle: automated ingest from Source Agency + independent second-source check; Settlement Committee confirms and publishes notice; 30-min review window before final payout.</t>
  </si>
  <si>
    <t xml:space="preserve">Postponed: FSV = repo in force at scheduled time.</t>
  </si>
  <si>
    <t xml:space="preserve">https://www.rbi.org.in/</t>
  </si>
  <si>
    <t xml:space="preserve">Internal netting.</t>
  </si>
  <si>
    <t xml:space="preserve">REG-IND-02</t>
  </si>
  <si>
    <t xml:space="preserve">SX-INCPI-26SEP-T4.50</t>
  </si>
  <si>
    <t xml:space="preserve">Economics – inflation</t>
  </si>
  <si>
    <t xml:space="preserve">India inflation above 4.5%?</t>
  </si>
  <si>
    <t xml:space="preserve">Will India's all-India CPI (Combined) year-on-year inflation for September 2026 be above 4.50%? (ladder 4.00–5.20, 0.10 pp steps)</t>
  </si>
  <si>
    <t xml:space="preserve">India CPI (new base 2024=100) rose to 4.45% in July 2026 – highest since Dec 2024 – on energy/rupee pass-through; food at 5.52%. RBI projects FY27 CPI ~5.0%. The binary 'CPI above X' + CPI futures pair from the design brief.</t>
  </si>
  <si>
    <t xml:space="preserve">T04</t>
  </si>
  <si>
    <t xml:space="preserve">K:KXCPIYOY-26AUG-T3.4 (US template)</t>
  </si>
  <si>
    <t xml:space="preserve">1 min before MoSPI release</t>
  </si>
  <si>
    <t xml:space="preserve">MoSPI CPI release for Sep 2026 – 12 Oct 2026, 16:00 IST (verify MoSPI calendar)</t>
  </si>
  <si>
    <t xml:space="preserve">YES = 1 if provisional YoY % &gt; 4.50 at published 2-decimal precision.</t>
  </si>
  <si>
    <t xml:space="preserve">All-India General Index, Combined (Rural+Urban), base 2024=100, YoY % as first published (provisional). Revisions in later months ignored.</t>
  </si>
  <si>
    <t xml:space="preserve">Source Agency: Ministry of Statistics &amp; Programme Implementation (MoSPI/NSO) CPI press release; PIB release as mirror. SarvaeX oracle: automated ingest from Source Agency + independent second-source check; Settlement Committee confirms and publishes notice; 30-min review window before final payout.</t>
  </si>
  <si>
    <t xml:space="preserve">First official release at Expiration governs; later revisions ignored. If the Source Agency release is delayed, Expiration moves to the release date for up to 14 calendar days; beyond that the binary settles per series terms and the futures settles at the last official daily settlement price (VWAP of final 30 min). If MoSPI changes base/series, SarvaeX publishes mapping notice before listing next month.</t>
  </si>
  <si>
    <t xml:space="preserve">https://www.mospi.gov.in/ ; example: https://www.pib.gov.in/PressReleasePage.aspx?PRID=2298247 ; template: https://assets.kalshi.com/contract_terms/YOYCPI.pdf</t>
  </si>
  <si>
    <t xml:space="preserve">Pairs with SXF-INCPI-26SEP (see Hedge_Calculator worked example).</t>
  </si>
  <si>
    <t xml:space="preserve">Internal MM; macro funds hedge via INR OIS (basis). Strong household/policy relevance.</t>
  </si>
  <si>
    <t xml:space="preserve">P1 – Pilot</t>
  </si>
  <si>
    <t xml:space="preserve">SXF-INCPI-26SEP</t>
  </si>
  <si>
    <t xml:space="preserve">India CPI Sep (futures)</t>
  </si>
  <si>
    <t xml:space="preserve">Underlying: India CPI Combined YoY % for Sep 2026 (first provisional release).</t>
  </si>
  <si>
    <t xml:space="preserve">12 Oct 2026 16:00 IST</t>
  </si>
  <si>
    <t xml:space="preserve">FSV = published YoY %.</t>
  </si>
  <si>
    <t xml:space="preserve">MoSPI. SarvaeX oracle: automated ingest from Source Agency + independent second-source check; Settlement Committee confirms and publishes notice; 30-min review window before final payout.</t>
  </si>
  <si>
    <t xml:space="preserve">https://www.mospi.gov.in/</t>
  </si>
  <si>
    <t xml:space="preserve">REG-IND-03</t>
  </si>
  <si>
    <t xml:space="preserve">SX-USDINR-26OCT30-T95.00</t>
  </si>
  <si>
    <t xml:space="preserve">India / GCC</t>
  </si>
  <si>
    <t xml:space="preserve">FX – rupee</t>
  </si>
  <si>
    <t xml:space="preserve">Rupee weaker than 95/$?</t>
  </si>
  <si>
    <t xml:space="preserve">Will the FBIL USD/INR reference rate be above 95.00 on Fri 30 Oct 2026? (0.25 ladder 93.00–97.50)</t>
  </si>
  <si>
    <t xml:space="preserve">USD/INR hit an all-time high of 96.84 on 20 May 2026 and trades ~94.5 in early Sep amid oil shock and FPI outflows. Huge relevance for NRIs (Gulf remittances), importers and exporters.</t>
  </si>
  <si>
    <t xml:space="preserve">T05</t>
  </si>
  <si>
    <t xml:space="preserve">K:KXEURUSDAW-26SEP11-1.1790 (FX template)</t>
  </si>
  <si>
    <t xml:space="preserve">30 Oct 2026 13:14 IST</t>
  </si>
  <si>
    <t xml:space="preserve">FBIL reference rate publication, ~13:30 IST, 30 Oct 2026</t>
  </si>
  <si>
    <t xml:space="preserve">YES = 1 if FBIL USD/INR &gt; 95.00 (4-decimal published value).</t>
  </si>
  <si>
    <t xml:space="preserve">Financial Benchmarks India Ltd (FBIL) USD/INR reference rate for the named date.</t>
  </si>
  <si>
    <t xml:space="preserve">Source Agency: FBIL (fbil.org.in); fallback RBI-displayed reference rate. SarvaeX oracle: automated ingest from Source Agency + independent second-source check; Settlement Committee confirms and publishes notice; 30-min review window before final payout.</t>
  </si>
  <si>
    <t xml:space="preserve">Indian holiday/no publication: next publication day. Corrections by FBIL same day applied.</t>
  </si>
  <si>
    <t xml:space="preserve">https://www.fbil.org.in/ ; template: https://assets.kalshi.com/contract_terms/FXEURUSD.pdf</t>
  </si>
  <si>
    <t xml:space="preserve">Pairs with SXF-USDINR.</t>
  </si>
  <si>
    <t xml:space="preserve">MMs hedge in NSE/BSE USD-INR futures, GIFT City and offshore NDF (basis: fixing time).</t>
  </si>
  <si>
    <t xml:space="preserve">Indian residents: RBI/FEMA &amp; SEBI constraints; Online Gaming Act 2025 bars real-money online games – geo-fence India until counsel clears. List for GCC/Asia/EU users via DIFC/DFSA framework. FBIL data licence required.</t>
  </si>
  <si>
    <t xml:space="preserve">P1 – after feed validation</t>
  </si>
  <si>
    <t xml:space="preserve">SXF-USDINR-26OCT30</t>
  </si>
  <si>
    <t xml:space="preserve">USD/INR 30-Oct (futures)</t>
  </si>
  <si>
    <t xml:space="preserve">Underlying: FBIL USD/INR reference rate on 30 Oct 2026.</t>
  </si>
  <si>
    <t xml:space="preserve">13:14 IST</t>
  </si>
  <si>
    <t xml:space="preserve">~13:30 IST</t>
  </si>
  <si>
    <t xml:space="preserve">Cash-settled linear event futures. Co-expires with the paired binary and settles to the same Source Agency value at the same Expiration (zero settlement basis). Daily MTM variation margin in USDC; cross-margined with the binary ladder. Quanto USD (no INR conversion).</t>
  </si>
  <si>
    <t xml:space="preserve">(FSV − Entry) × US$100 per 1.00 INR.</t>
  </si>
  <si>
    <t xml:space="preserve">0.0025 = US$0.25; band ±3%</t>
  </si>
  <si>
    <t xml:space="preserve">US$100 per 1.00 INR move</t>
  </si>
  <si>
    <t xml:space="preserve">FSV = FBIL rate.</t>
  </si>
  <si>
    <t xml:space="preserve">FBIL. SarvaeX oracle: automated ingest from Source Agency + independent second-source check; Settlement Committee confirms and publishes notice; 30-min review window before final payout.</t>
  </si>
  <si>
    <t xml:space="preserve">https://www.fbil.org.in/</t>
  </si>
  <si>
    <t xml:space="preserve">NDF/NSE hedge.</t>
  </si>
  <si>
    <t xml:space="preserve">REG-IND-04</t>
  </si>
  <si>
    <t xml:space="preserve">SX-NIFTY-26OCT27-T23500</t>
  </si>
  <si>
    <t xml:space="preserve">Local equities – Nifty 50</t>
  </si>
  <si>
    <t xml:space="preserve">Nifty above 23,500 at Oct expiry?</t>
  </si>
  <si>
    <t xml:space="preserve">Will the Nifty 50 official close be above 23,500 on Tue 27 Oct 2026 (NSE monthly F&amp;O expiry)? (100-pt ladder)</t>
  </si>
  <si>
    <t xml:space="preserve">Nifty ~23,400 (10 Sep) after a difficult 2026: FPI outflows, oil shock, rupee weakness, IT sentiment. Most-watched Indian market number; daily habit product.</t>
  </si>
  <si>
    <t xml:space="preserve">T06</t>
  </si>
  <si>
    <t xml:space="preserve">P:4436879 (SPX up/down); K:KXINXU (SPX level)</t>
  </si>
  <si>
    <t xml:space="preserve">27 Oct 2026 15:29 IST</t>
  </si>
  <si>
    <t xml:space="preserve">Official closing value published by NSE Indices, ~15:30–16:00 IST</t>
  </si>
  <si>
    <t xml:space="preserve">YES = 1 if official close &gt; 23,500.</t>
  </si>
  <si>
    <t xml:space="preserve">Official closing index value of NIFTY 50 (price index) – not last traded tick, not futures.</t>
  </si>
  <si>
    <t xml:space="preserve">Source Agency: NSE Indices Ltd official close (licensed feed). SarvaeX oracle: automated ingest from Source Agency + independent second-source check; Settlement Committee confirms and publishes notice; 30-min review window before final payout.</t>
  </si>
  <si>
    <t xml:space="preserve">Unscheduled closure: next official close. Muhurat/special sessions excluded unless named.</t>
  </si>
  <si>
    <t xml:space="preserve">https://www.niftyindices.com/indices/equity/broad-based-indices/nifty--50</t>
  </si>
  <si>
    <t xml:space="preserve">Pairs with SXF-NIFTY.</t>
  </si>
  <si>
    <t xml:space="preserve">MMs hedge via GIFT Nifty (NSE IX) / SGX-linked products; INR-USD quanto risk.</t>
  </si>
  <si>
    <t xml:space="preserve">Indian residents: RBI/FEMA &amp; SEBI constraints; Online Gaming Act 2025 bars real-money online games – geo-fence India until counsel clears. List for GCC/Asia/EU users via DIFC/DFSA framework. NSE Indices redistribution licence required; do not replicate NSE F&amp;O for Indian residents.</t>
  </si>
  <si>
    <t xml:space="preserve">P1 – Pilot after licence</t>
  </si>
  <si>
    <t xml:space="preserve">SXF-NIFTY-26OCT27</t>
  </si>
  <si>
    <t xml:space="preserve">Nifty 50 Oct expiry (futures)</t>
  </si>
  <si>
    <t xml:space="preserve">Underlying: NIFTY 50 official close, 27 Oct 2026.</t>
  </si>
  <si>
    <t xml:space="preserve">15:29 IST</t>
  </si>
  <si>
    <t xml:space="preserve">Official close</t>
  </si>
  <si>
    <t xml:space="preserve">Cash-settled linear event futures. Co-expires with the paired binary and settles to the same Source Agency value at the same Expiration (zero settlement basis). Daily MTM variation margin in USDC; cross-margined with the binary ladder. Quanto USD.</t>
  </si>
  <si>
    <t xml:space="preserve">(FSV − Entry) × US$0.10 per index point.</t>
  </si>
  <si>
    <t xml:space="preserve">0.5 pt = US$0.05; band ±8%</t>
  </si>
  <si>
    <t xml:space="preserve">US$0.10 per point (100 pts = US$10)</t>
  </si>
  <si>
    <t xml:space="preserve">NSE Indices. SarvaeX oracle: automated ingest from Source Agency + independent second-source check; Settlement Committee confirms and publishes notice; 30-min review window before final payout.</t>
  </si>
  <si>
    <t xml:space="preserve">GIFT Nifty hedge.</t>
  </si>
  <si>
    <t xml:space="preserve">REG-IND-05</t>
  </si>
  <si>
    <t xml:space="preserve">SX-MONSOON-26-T90</t>
  </si>
  <si>
    <t xml:space="preserve">Climate – monsoon</t>
  </si>
  <si>
    <t xml:space="preserve">Deficient monsoon in 2026?</t>
  </si>
  <si>
    <t xml:space="preserve">Will IMD report June–September 2026 all-India monsoon rainfall below 90% of the Long Period Average (a 'deficient' season)?</t>
  </si>
  <si>
    <t xml:space="preserve">IMD cut the 2026 monsoon forecast to 90% of LPA on El Niño; deficit ~13.8% after three months – potentially weakest since 2009. Drives food inflation, rural demand and RBI policy.</t>
  </si>
  <si>
    <t xml:space="preserve">T07</t>
  </si>
  <si>
    <t xml:space="preserve">K:KXRAIN (rain template)</t>
  </si>
  <si>
    <t xml:space="preserve">30 Sep 2026 23:59 IST</t>
  </si>
  <si>
    <t xml:space="preserve">IMD end-of-season statement / press release (typically 1–2 Oct 2026)</t>
  </si>
  <si>
    <t xml:space="preserve">YES = 1 if seasonal all-India rainfall &lt; 90.0% of LPA.</t>
  </si>
  <si>
    <t xml:space="preserve">All-India cumulative rainfall 1 Jun–30 Sep 2026 as % of LPA (LPA ≈ 868.6 mm, 1971–2020) in IMD's first end-of-season publication.</t>
  </si>
  <si>
    <t xml:space="preserve">Source Agency: India Meteorological Department (mausam.imd.gov.in) end-of-season press release; fallback IMD weekly cumulative table as of 30 Sep. SarvaeX oracle: automated ingest from Source Agency + independent second-source check; Settlement Committee confirms and publishes notice; 30-min review window before final payout.</t>
  </si>
  <si>
    <t xml:space="preserve">If IMD publishes % departure instead of % LPA, convert: % LPA = 100 + departure. First official release at Expiration governs; later revisions ignored.</t>
  </si>
  <si>
    <t xml:space="preserve">https://mausam.imd.gov.in/</t>
  </si>
  <si>
    <t xml:space="preserve">Pairs with SXF-MONSOON (% of LPA).</t>
  </si>
  <si>
    <t xml:space="preserve">Agri-commodity traders &amp; insurers are natural hedgers; seed internally.</t>
  </si>
  <si>
    <t xml:space="preserve">P1 – short window</t>
  </si>
  <si>
    <t xml:space="preserve">SXF-MONSOON-26</t>
  </si>
  <si>
    <t xml:space="preserve">Monsoon % of LPA (futures)</t>
  </si>
  <si>
    <t xml:space="preserve">Underlying: 2026 June–Sept all-India rainfall as % of LPA (IMD).</t>
  </si>
  <si>
    <t xml:space="preserve">30 Sep 23:59 IST</t>
  </si>
  <si>
    <t xml:space="preserve">IMD end-of-season release</t>
  </si>
  <si>
    <t xml:space="preserve">(FSV − Entry) × US$10 per 1.0 pp of LPA.</t>
  </si>
  <si>
    <t xml:space="preserve">0.1 pp = US$1</t>
  </si>
  <si>
    <t xml:space="preserve">US$10 per 1 pp</t>
  </si>
  <si>
    <t xml:space="preserve">FSV = published % of LPA (1 decimal).</t>
  </si>
  <si>
    <t xml:space="preserve">IMD. SarvaeX oracle: automated ingest from Source Agency + independent second-source check; Settlement Committee confirms and publishes notice; 30-min review window before final payout.</t>
  </si>
  <si>
    <t xml:space="preserve">REG-IND-06</t>
  </si>
  <si>
    <t xml:space="preserve">SX-DELAQI-26NOV09-T400</t>
  </si>
  <si>
    <t xml:space="preserve">Climate – air quality</t>
  </si>
  <si>
    <t xml:space="preserve">Delhi AQI 'Severe' after Diwali?</t>
  </si>
  <si>
    <t xml:space="preserve">Will Delhi's AQI in the CPCB 4 pm National AQI Bulletin be above 400 ('Severe') on Mon 9 Nov 2026 (day after Diwali – verify festival date)?</t>
  </si>
  <si>
    <t xml:space="preserve">Delhi's Oct–Nov pollution season (stubble burning, Diwali, winter inversion) is a top national news story every year; AQI is an official daily number with clear categories (Severe = 401–500).</t>
  </si>
  <si>
    <t xml:space="preserve">T17</t>
  </si>
  <si>
    <t xml:space="preserve">K:KXHIGH (daily environmental template)</t>
  </si>
  <si>
    <t xml:space="preserve">9 Nov 2026 15:59 IST</t>
  </si>
  <si>
    <t xml:space="preserve">CPCB daily AQI bulletin, ~16:00–17:00 IST</t>
  </si>
  <si>
    <t xml:space="preserve">YES = 1 if Delhi city AQI &gt; 400.</t>
  </si>
  <si>
    <t xml:space="preserve">City-level AQI for 'Delhi' in the Central Pollution Control Board daily 4 pm bulletin (24-h average), as first published.</t>
  </si>
  <si>
    <t xml:space="preserve">Source Agency: CPCB National AQI Bulletin (cpcb.nic.in / app.cpcbccr.com). SarvaeX oracle: automated ingest from Source Agency + independent second-source check; Settlement Committee confirms and publishes notice; 30-min review window before final payout.</t>
  </si>
  <si>
    <t xml:space="preserve">Bulletin not published by 23:59 IST: use CPCB CAAQMS city average for 24 h ending 16:00; else void.</t>
  </si>
  <si>
    <t xml:space="preserve">https://cpcb.nic.in/</t>
  </si>
  <si>
    <t xml:space="preserve">Pairs with SXF-DELAQI.</t>
  </si>
  <si>
    <t xml:space="preserve">Retail-engagement product; internal MM.</t>
  </si>
  <si>
    <t xml:space="preserve">SXF-DELAQI-26NOV09</t>
  </si>
  <si>
    <t xml:space="preserve">Delhi AQI (futures)</t>
  </si>
  <si>
    <t xml:space="preserve">Underlying: Delhi AQI in CPCB 4 pm bulletin on 9 Nov 2026.</t>
  </si>
  <si>
    <t xml:space="preserve">15:59 IST</t>
  </si>
  <si>
    <t xml:space="preserve">Bulletin publication</t>
  </si>
  <si>
    <t xml:space="preserve">(FSV − Entry) × US$0.10 per AQI point.</t>
  </si>
  <si>
    <t xml:space="preserve">1 pt = US$0.10; band ±200</t>
  </si>
  <si>
    <t xml:space="preserve">US$0.10 per point</t>
  </si>
  <si>
    <t xml:space="preserve">FSV = published AQI integer.</t>
  </si>
  <si>
    <t xml:space="preserve">CPCB. SarvaeX oracle: automated ingest from Source Agency + independent second-source check; Settlement Committee confirms and publishes notice; 30-min review window before final payout.</t>
  </si>
  <si>
    <t xml:space="preserve">REG-IND-07</t>
  </si>
  <si>
    <t xml:space="preserve">SX-CRIC-INDWI-ODI1-IND</t>
  </si>
  <si>
    <t xml:space="preserve">Sports – cricket</t>
  </si>
  <si>
    <t xml:space="preserve">India to win 1st ODI vs WI?</t>
  </si>
  <si>
    <t xml:space="preserve">Will India win the 1st ODI vs West Indies at Thiruvananthapuram on 27 Sep 2026?</t>
  </si>
  <si>
    <t xml:space="preserve">India's 2026-27 home season opens with West Indies: 3 ODIs from 27 Sep (Thiruvananthapuram, Guwahati, New Chandigarh) then 5 T20Is to 17 Oct. Cricket is the highest-engagement retail category in South Asia and the Gulf diaspora.</t>
  </si>
  <si>
    <t xml:space="preserve">T09</t>
  </si>
  <si>
    <t xml:space="preserve">Sports moneyline (Kalshi/Polymarket); no cricket depth in snapshot</t>
  </si>
  <si>
    <t xml:space="preserve">Toss (pre-match) or final ball (in-play)</t>
  </si>
  <si>
    <t xml:space="preserve">Official result on ICC/BCCI scorecard</t>
  </si>
  <si>
    <t xml:space="preserve">YES = 1 if India wins. Tie/no result: both sides settle at 0.50 (define; or void).</t>
  </si>
  <si>
    <t xml:space="preserve">Official match result including DLS-adjusted results and Super Over if played.</t>
  </si>
  <si>
    <t xml:space="preserve">Source Agency: ICC / BCCI official scorecard via licensed data provider. SarvaeX oracle: automated ingest from Source Agency + independent second-source check; Settlement Committee confirms and publishes notice; 30-min review window before final payout.</t>
  </si>
  <si>
    <t xml:space="preserve">Abandoned without result: void &amp; refund. Reserve day per playing conditions counts.</t>
  </si>
  <si>
    <t xml:space="preserve">https://www.bcci.tv/ ; https://www.icc-cricket.com/</t>
  </si>
  <si>
    <t xml:space="preserve">Pairs with SXF-CRIC runs futures (correlated, not exact).</t>
  </si>
  <si>
    <t xml:space="preserve">No external prediction-market depth – MM with licensed odds feed.</t>
  </si>
  <si>
    <t xml:space="preserve">Sports: licensed data feed required; integrity monitoring (player/official access); India geo-block under Online Gaming Act 2025; UAE/DFSA suitability review.</t>
  </si>
  <si>
    <t xml:space="preserve">SXF-CRIC-INDWI-ODI1-RUNS</t>
  </si>
  <si>
    <t xml:space="preserve">India team total runs (futures)</t>
  </si>
  <si>
    <t xml:space="preserve">Underlying: India's total runs in their innings in the 1st ODI (27 Sep 2026).</t>
  </si>
  <si>
    <t xml:space="preserve">Start of India innings</t>
  </si>
  <si>
    <t xml:space="preserve">End of India innings (official)</t>
  </si>
  <si>
    <t xml:space="preserve">(FSV − Entry) × US$0.25 per run.</t>
  </si>
  <si>
    <t xml:space="preserve">0.5 run</t>
  </si>
  <si>
    <t xml:space="preserve">US$0.25 per run</t>
  </si>
  <si>
    <t xml:space="preserve">FSV = India innings total (DLS-reduced innings count as scored).</t>
  </si>
  <si>
    <t xml:space="preserve">Official scorecard. SarvaeX oracle: automated ingest from Source Agency + independent second-source check; Settlement Committee confirms and publishes notice; 30-min review window before final payout.</t>
  </si>
  <si>
    <t xml:space="preserve">Innings not started: void. Truncated innings settles on runs scored.</t>
  </si>
  <si>
    <t xml:space="preserve">Scalar leg; binary 'India 300+' ladder also offered.</t>
  </si>
  <si>
    <t xml:space="preserve">REG-IND-08</t>
  </si>
  <si>
    <t xml:space="preserve">SX-AG26-IND-T100</t>
  </si>
  <si>
    <t xml:space="preserve">India / Asia</t>
  </si>
  <si>
    <t xml:space="preserve">Sports – multi-sport</t>
  </si>
  <si>
    <t xml:space="preserve">India 100+ medals at Asian Games?</t>
  </si>
  <si>
    <t xml:space="preserve">Will India win 100 or more total medals at the 2026 Asian Games (Aichi-Nagoya, 19 Sep–4 Oct 2026)?</t>
  </si>
  <si>
    <t xml:space="preserve">Asian Games 2026 in Aichi-Nagoya, Japan, 19 Sep–4 Oct. India won a record 106 medals at Hangzhou 2022 and defends cricket golds. A medal count is a perfect scalar underlying for a futures leg.</t>
  </si>
  <si>
    <t xml:space="preserve">T10</t>
  </si>
  <si>
    <t xml:space="preserve">None (novel)</t>
  </si>
  <si>
    <t xml:space="preserve">4 Oct 2026 closing ceremony</t>
  </si>
  <si>
    <t xml:space="preserve">Official final medal table (48 h after closing)</t>
  </si>
  <si>
    <t xml:space="preserve">YES = 1 if India total (G+S+B) ≥ 100.</t>
  </si>
  <si>
    <t xml:space="preserve">Total medals credited to India in the official medal table of the organising committee / Olympic Council of Asia as at settlement.</t>
  </si>
  <si>
    <t xml:space="preserve">Source Agency: Aichi-Nagoya 2026 Organising Committee / OCA official medal table. SarvaeX oracle: automated ingest from Source Agency + independent second-source check; Settlement Committee confirms and publishes notice; 30-min review window before final payout.</t>
  </si>
  <si>
    <t xml:space="preserve">Post-settlement doping reallocations ignored.</t>
  </si>
  <si>
    <t xml:space="preserve">https://www.ocasia.org/</t>
  </si>
  <si>
    <t xml:space="preserve">Pairs with SXF-AG26-IND.</t>
  </si>
  <si>
    <t xml:space="preserve">P1 – time-sensitive</t>
  </si>
  <si>
    <t xml:space="preserve">SXF-AG26-IND</t>
  </si>
  <si>
    <t xml:space="preserve">India medal count (futures)</t>
  </si>
  <si>
    <t xml:space="preserve">Underlying: India's total medal count at the 2026 Asian Games.</t>
  </si>
  <si>
    <t xml:space="preserve">4 Oct 2026</t>
  </si>
  <si>
    <t xml:space="preserve">Official final table</t>
  </si>
  <si>
    <t xml:space="preserve">(FSV − Entry) × US$1 per medal.</t>
  </si>
  <si>
    <t xml:space="preserve">0.5 = US$0.50</t>
  </si>
  <si>
    <t xml:space="preserve">US$1 per medal</t>
  </si>
  <si>
    <t xml:space="preserve">FSV = official total.</t>
  </si>
  <si>
    <t xml:space="preserve">OCA. SarvaeX oracle: automated ingest from Source Agency + independent second-source check; Settlement Committee confirms and publishes notice; 30-min review window before final payout.</t>
  </si>
  <si>
    <t xml:space="preserve">REG-IND-09</t>
  </si>
  <si>
    <t xml:space="preserve">SX-LBMAGOLD-26NOV06-T4500</t>
  </si>
  <si>
    <t xml:space="preserve">Commodities – gold</t>
  </si>
  <si>
    <t xml:space="preserve">Gold above $4,500 in Dhanteras week?</t>
  </si>
  <si>
    <t xml:space="preserve">Will the LBMA Gold Price PM be above US$4,500/oz on Fri 6 Nov 2026 (Dhanteras week)? (US$50 ladder)</t>
  </si>
  <si>
    <t xml:space="preserve">Gold ~US$4,360/oz (11 Sep) after a record ~US$5,590 on 28 Jan 2026; festive-season (Dhanteras/Diwali) buying makes gold the most-discussed retail asset in India and the Gulf.</t>
  </si>
  <si>
    <t xml:space="preserve">T08</t>
  </si>
  <si>
    <t xml:space="preserve">P:4436942 (gold daily, weak book)</t>
  </si>
  <si>
    <t xml:space="preserve">6 Nov 2026 14:59 London</t>
  </si>
  <si>
    <t xml:space="preserve">LBMA Gold Price PM publication, ~15:00 London</t>
  </si>
  <si>
    <t xml:space="preserve">YES = 1 if LBMA Gold PM (USD) &gt; 4,500.</t>
  </si>
  <si>
    <t xml:space="preserve">LBMA Gold Price PM in USD per troy oz for the named London business day. Not spot, PAXG, MCX or local jewellery rates.</t>
  </si>
  <si>
    <t xml:space="preserve">Source Agency: ICE Benchmark Administration – LBMA Gold Price (licensed). SarvaeX oracle: automated ingest from Source Agency + independent second-source check; Settlement Committee confirms and publishes notice; 30-min review window before final payout.</t>
  </si>
  <si>
    <t xml:space="preserve">No PM auction: use AM price same day; else next business day PM.</t>
  </si>
  <si>
    <t xml:space="preserve">https://www.lbma.org.uk/prices-and-data/lbma-precious-metal-prices</t>
  </si>
  <si>
    <t xml:space="preserve">Pairs with SXF-LBMAGOLD.</t>
  </si>
  <si>
    <t xml:space="preserve">Deep external hedge: COMEX GC, DGCX gold (Dubai), spot.</t>
  </si>
  <si>
    <t xml:space="preserve">LBMA Gold Price licence (ICE Benchmark Administration). Indian residents: RBI/FEMA &amp; SEBI constraints; Online Gaming Act 2025 bars real-money online games – geo-fence India until counsel clears. List for GCC/Asia/EU users via DIFC/DFSA framework.</t>
  </si>
  <si>
    <t xml:space="preserve">P1 – after licence</t>
  </si>
  <si>
    <t xml:space="preserve">SXF-LBMAGOLD-26NOV06</t>
  </si>
  <si>
    <t xml:space="preserve">Gold LBMA PM (futures)</t>
  </si>
  <si>
    <t xml:space="preserve">Underlying: LBMA Gold Price PM (US$/oz) on 6 Nov 2026.</t>
  </si>
  <si>
    <t xml:space="preserve">14:59 London</t>
  </si>
  <si>
    <t xml:space="preserve">~15:00 London</t>
  </si>
  <si>
    <t xml:space="preserve">FSV = LBMA PM.</t>
  </si>
  <si>
    <t xml:space="preserve">IBA. SarvaeX oracle: automated ingest from Source Agency + independent second-source check; Settlement Committee confirms and publishes notice; 30-min review window before final payout.</t>
  </si>
  <si>
    <t xml:space="preserve">DGCX/COMEX.</t>
  </si>
  <si>
    <t xml:space="preserve">REG-IND-10</t>
  </si>
  <si>
    <t xml:space="preserve">SX-UP27-BJP-T202</t>
  </si>
  <si>
    <t xml:space="preserve">Elections – state assembly</t>
  </si>
  <si>
    <t xml:space="preserve">BJP majority in UP 2027?</t>
  </si>
  <si>
    <t xml:space="preserve">Will the BJP win 202 or more of 403 seats in the next Uttar Pradesh Legislative Assembly election (majority mark)?</t>
  </si>
  <si>
    <t xml:space="preserve">Next major state polls are expected early 2027 (Uttar Pradesh 403 seats, Punjab, Uttarakhand, Goa, Manipur). High attention, but list only after the ECI announces the schedule.</t>
  </si>
  <si>
    <t xml:space="preserve">T15</t>
  </si>
  <si>
    <t xml:space="preserve">P:601819 (Brazil election, template)</t>
  </si>
  <si>
    <t xml:space="preserve">Counting day (TBD by ECI)</t>
  </si>
  <si>
    <t xml:space="preserve">ECI final constituency results</t>
  </si>
  <si>
    <t xml:space="preserve">YES = 1 if BJP-party seats ≥ 202 (allies excluded).</t>
  </si>
  <si>
    <t xml:space="preserve">Seats won by candidates of the Bharatiya Janata Party as declared by ECI; alliance partners not counted; countermanded seats per terms.</t>
  </si>
  <si>
    <t xml:space="preserve">Source Agency: Election Commission of India (results.eci.gov.in). SarvaeX oracle: automated ingest from Source Agency + independent second-source check; Settlement Committee confirms and publishes notice; 30-min review window before final payout.</t>
  </si>
  <si>
    <t xml:space="preserve">Countermanded/re-poll seats counted if declared within 30 days. Post-result defections ignored.</t>
  </si>
  <si>
    <t xml:space="preserve">https://results.eci.gov.in/</t>
  </si>
  <si>
    <t xml:space="preserve">Pairs with SXF-UP27-BJP seat futures.</t>
  </si>
  <si>
    <t xml:space="preserve">Diaspora demand hypothesis; no external venue.</t>
  </si>
  <si>
    <t xml:space="preserve">High legal &amp; integrity review: election-market legality in India, ECI model code, data rights. Indian residents: RBI/FEMA &amp; SEBI constraints; Online Gaming Act 2025 bars real-money online games – geo-fence India until counsel clears. List for GCC/Asia/EU users via DIFC/DFSA framework.</t>
  </si>
  <si>
    <t xml:space="preserve">P3 – Pipeline (after ECI notification)</t>
  </si>
  <si>
    <t xml:space="preserve">SXF-UP27-BJP</t>
  </si>
  <si>
    <t xml:space="preserve">BJP UP seats (futures)</t>
  </si>
  <si>
    <t xml:space="preserve">Underlying: Seats won by BJP in the next UP assembly election.</t>
  </si>
  <si>
    <t xml:space="preserve">Counting day</t>
  </si>
  <si>
    <t xml:space="preserve">ECI results</t>
  </si>
  <si>
    <t xml:space="preserve">0.5 seat</t>
  </si>
  <si>
    <t xml:space="preserve">FSV = BJP seats per ECI.</t>
  </si>
  <si>
    <t xml:space="preserve">ECI. SarvaeX oracle: automated ingest from Source Agency + independent second-source check; Settlement Committee confirms and publishes notice; 30-min review window before final payout.</t>
  </si>
  <si>
    <t xml:space="preserve">REG-ME-01</t>
  </si>
  <si>
    <t xml:space="preserve">SX-BRENT-26OCT30-T100</t>
  </si>
  <si>
    <t xml:space="preserve">Middle East / Global</t>
  </si>
  <si>
    <t xml:space="preserve">Commodities – crude oil</t>
  </si>
  <si>
    <t xml:space="preserve">Brent above $100 at end-Oct?</t>
  </si>
  <si>
    <t xml:space="preserve">Will ICE Brent Dec-26 futures settle above US$100.00/bbl on Fri 30 Oct 2026? (US$1 ladder 85–125)</t>
  </si>
  <si>
    <t xml:space="preserve">Brent ~US$106 (11 Sep, +19% m/m) as US–Iran strikes hit tankers and Aramco facilities; EIA estimates 6.7 mb/d of Middle East shut-ins in August. Oil is the single most-discussed market topic in the Gulf.</t>
  </si>
  <si>
    <t xml:space="preserve">T01, T02</t>
  </si>
  <si>
    <t xml:space="preserve">K:KXWTI-26SEP1114-T101.99 (WTI template); P:3954346</t>
  </si>
  <si>
    <t xml:space="preserve">30 Oct 2026 19:29 London</t>
  </si>
  <si>
    <t xml:space="preserve">ICE Brent official daily settlement, ~19:30 London</t>
  </si>
  <si>
    <t xml:space="preserve">YES = 1 if settlement &gt; 100.00.</t>
  </si>
  <si>
    <t xml:space="preserve">Official ICE Futures Europe daily settlement price for the named Brent contract month (Dec-26). Contract month fixed at listing – no generic front-month roll.</t>
  </si>
  <si>
    <t xml:space="preserve">Source Agency: ICE Futures Europe (licensed settlement data). SarvaeX oracle: automated ingest from Source Agency + independent second-source check; Settlement Committee confirms and publishes notice; 30-min review window before final payout.</t>
  </si>
  <si>
    <t xml:space="preserve">No settlement published: next business day.</t>
  </si>
  <si>
    <t xml:space="preserve">https://www.ice.com/products/219/Brent-Crude-Futures</t>
  </si>
  <si>
    <t xml:space="preserve">Pairs with SXF-BRENT.</t>
  </si>
  <si>
    <t xml:space="preserve">Deep hedge in ICE Brent; oil-linked perps on Hyperliquid showed ~US$1bn daily volume at peak Hormuz tension.</t>
  </si>
  <si>
    <t xml:space="preserve">ICE data licence; DFSA product approval.</t>
  </si>
  <si>
    <t xml:space="preserve">SXF-BRENT-26OCT30</t>
  </si>
  <si>
    <t xml:space="preserve">Brent Dec-26 (futures)</t>
  </si>
  <si>
    <t xml:space="preserve">Underlying: ICE Brent Dec-26 settlement on 30 Oct 2026.</t>
  </si>
  <si>
    <t xml:space="preserve">19:29 London</t>
  </si>
  <si>
    <t xml:space="preserve">~19:30 London</t>
  </si>
  <si>
    <t xml:space="preserve">FSV = ICE settlement.</t>
  </si>
  <si>
    <t xml:space="preserve">ICE. SarvaeX oracle: automated ingest from Source Agency + independent second-source check; Settlement Committee confirms and publishes notice; 30-min review window before final payout.</t>
  </si>
  <si>
    <t xml:space="preserve">ICE Brent.</t>
  </si>
  <si>
    <t xml:space="preserve">REG-ME-02</t>
  </si>
  <si>
    <t xml:space="preserve">SX-CBUAE-26OCT-HIKE</t>
  </si>
  <si>
    <t xml:space="preserve">UAE / GCC</t>
  </si>
  <si>
    <t xml:space="preserve">UAE Base Rate hike after Oct Fed?</t>
  </si>
  <si>
    <t xml:space="preserve">Will the Central Bank of the UAE raise its Base Rate by ≥25 bp in the announcement following the 27–28 Oct 2026 FOMC decision?</t>
  </si>
  <si>
    <t xml:space="preserve">The CBUAE Base Rate tracks the Fed (dirham peg); Fed hike odds for 16 Sep are ~60–70% under Chair Warsh. A local-rate product for UAE borrowers, mortgage holders and treasuries.</t>
  </si>
  <si>
    <t xml:space="preserve">T03</t>
  </si>
  <si>
    <t xml:space="preserve">K:KXFEDDECISION (template)</t>
  </si>
  <si>
    <t xml:space="preserve">28 Oct 2026 21:59 GST</t>
  </si>
  <si>
    <t xml:space="preserve">CBUAE announcement (typically same evening as FOMC, GST)</t>
  </si>
  <si>
    <t xml:space="preserve">YES = 1 if announced Base Rate − prior Base Rate ≥ +0.25 pp.</t>
  </si>
  <si>
    <t xml:space="preserve">CBUAE Base Rate (applied to Overnight Deposit Facility) per official announcement within 48 h after the FOMC statement.</t>
  </si>
  <si>
    <t xml:space="preserve">Source Agency: Central Bank of the UAE press release (centralbank.ae). SarvaeX oracle: automated ingest from Source Agency + independent second-source check; Settlement Committee confirms and publishes notice; 30-min review window before final payout.</t>
  </si>
  <si>
    <t xml:space="preserve">No announcement within 48 h: rate unchanged → NO.</t>
  </si>
  <si>
    <t xml:space="preserve">https://www.centralbank.ae/en/our-operations/monetary-policy-and-domestic-markets/</t>
  </si>
  <si>
    <t xml:space="preserve">Pairs with SXF-CBUAE; cross-hedge with SXF-FFUB-26OCT (near 1:1 given peg).</t>
  </si>
  <si>
    <t xml:space="preserve">MMs hedge via Fed contracts (very high correlation).</t>
  </si>
  <si>
    <t xml:space="preserve">Low integrity risk; overlaps Fed demand – test cannibalisation.</t>
  </si>
  <si>
    <t xml:space="preserve">SXF-CBUAE-26OCT</t>
  </si>
  <si>
    <t xml:space="preserve">UAE Base Rate (futures)</t>
  </si>
  <si>
    <t xml:space="preserve">Underlying: CBUAE Base Rate (%) after the Oct 2026 FOMC-linked announcement.</t>
  </si>
  <si>
    <t xml:space="preserve">28 Oct 21:59 GST</t>
  </si>
  <si>
    <t xml:space="preserve">CBUAE announcement</t>
  </si>
  <si>
    <t xml:space="preserve">0.005 pp</t>
  </si>
  <si>
    <t xml:space="preserve">FSV = Base Rate announced (or unchanged).</t>
  </si>
  <si>
    <t xml:space="preserve">CBUAE. SarvaeX oracle: automated ingest from Source Agency + independent second-source check; Settlement Committee confirms and publishes notice; 30-min review window before final payout.</t>
  </si>
  <si>
    <t xml:space="preserve">Delta-1; spread vs SXF-FFUB.</t>
  </si>
  <si>
    <t xml:space="preserve">Fed legs.</t>
  </si>
  <si>
    <t xml:space="preserve">REG-ME-03</t>
  </si>
  <si>
    <t xml:space="preserve">SX-OPECP-26DEC-INC</t>
  </si>
  <si>
    <t xml:space="preserve">Saudi Arabia / GCC</t>
  </si>
  <si>
    <t xml:space="preserve">Energy policy – OPEC+</t>
  </si>
  <si>
    <t xml:space="preserve">OPEC+ to raise December output?</t>
  </si>
  <si>
    <t xml:space="preserve">Will the OPEC+ eight-country group announce a production increase for December 2026 at its next monthly meeting?</t>
  </si>
  <si>
    <t xml:space="preserve">OPEC+ completed the unwind of 2023 voluntary cuts with a 188 kb/d September increase and signalled a Q4 pause; with Hormuz constrained, each monthly decision moves Gulf markets.</t>
  </si>
  <si>
    <t xml:space="preserve">T02</t>
  </si>
  <si>
    <t xml:space="preserve">L:375040 (country leaves OPEC, Limitless)</t>
  </si>
  <si>
    <t xml:space="preserve">Meeting start (date per OPEC announcement, expected early Nov 2026)</t>
  </si>
  <si>
    <t xml:space="preserve">OPEC official press release</t>
  </si>
  <si>
    <t xml:space="preserve">YES = 1 if announced aggregate adjustment for Dec-26 &gt; 0 kb/d.</t>
  </si>
  <si>
    <t xml:space="preserve">Aggregate required-production adjustment for the named month for the eight participating countries as stated in the official OPEC press release. Compensation cuts excluded unless netted in the headline figure (state in terms).</t>
  </si>
  <si>
    <t xml:space="preserve">Source Agency: OPEC Secretariat press release (opec.org). SarvaeX oracle: automated ingest from Source Agency + independent second-source check; Settlement Committee confirms and publishes notice; 30-min review window before final payout.</t>
  </si>
  <si>
    <t xml:space="preserve">No meeting/announcement by 30 Nov 2026: NO. Ambiguous wording: Settlement Committee applies headline table.</t>
  </si>
  <si>
    <t xml:space="preserve">https://www.opec.org/</t>
  </si>
  <si>
    <t xml:space="preserve">Pairs with SXF-OPECP (kb/d adjustment).</t>
  </si>
  <si>
    <t xml:space="preserve">Correlated with Brent; energy desks in Riyadh/Dubai.</t>
  </si>
  <si>
    <t xml:space="preserve">Official-announcement outcome only (not actual production).</t>
  </si>
  <si>
    <t xml:space="preserve">SXF-OPECP-26DEC</t>
  </si>
  <si>
    <t xml:space="preserve">OPEC+ Dec adjustment (futures)</t>
  </si>
  <si>
    <t xml:space="preserve">Underlying: Announced aggregate OPEC+ (8-country) adjustment for Dec 2026, kb/d (negative = cut).</t>
  </si>
  <si>
    <t xml:space="preserve">Meeting start</t>
  </si>
  <si>
    <t xml:space="preserve">Press release</t>
  </si>
  <si>
    <t xml:space="preserve">(FSV − Entry) × US$0.10 per kb/d.</t>
  </si>
  <si>
    <t xml:space="preserve">1 kb/d = US$0.10; band ±1,000</t>
  </si>
  <si>
    <t xml:space="preserve">US$0.10 per kb/d (100 kb/d = US$10)</t>
  </si>
  <si>
    <t xml:space="preserve">FSV = headline adjustment.</t>
  </si>
  <si>
    <t xml:space="preserve">OPEC. SarvaeX oracle: automated ingest from Source Agency + independent second-source check; Settlement Committee confirms and publishes notice; 30-min review window before final payout.</t>
  </si>
  <si>
    <t xml:space="preserve">No announcement: FSV = 0.</t>
  </si>
  <si>
    <t xml:space="preserve">REG-ME-04</t>
  </si>
  <si>
    <t xml:space="preserve">SX-HIGHDXB-26OCT15-T38</t>
  </si>
  <si>
    <t xml:space="preserve">UAE</t>
  </si>
  <si>
    <t xml:space="preserve">Climate – temperature</t>
  </si>
  <si>
    <t xml:space="preserve">Dubai 38°C+ on 15 Oct?</t>
  </si>
  <si>
    <t xml:space="preserve">Will the official maximum temperature at Dubai International Airport (OMDB) be 38.0°C or higher on Thu 15 Oct 2026?</t>
  </si>
  <si>
    <t xml:space="preserve">Daily-temperature markets are a proven recurring format (Kalshi 20 US cities; Polymarket Asian cities). Dubai heat is a daily conversation; October still reaches the high 30s °C.</t>
  </si>
  <si>
    <t xml:space="preserve">T12</t>
  </si>
  <si>
    <t xml:space="preserve">K:KXHIGHLAX; P:4400073 (Singapore)</t>
  </si>
  <si>
    <t xml:space="preserve">15 Oct 2026 23:59 GST</t>
  </si>
  <si>
    <t xml:space="preserve">NCM daily climate data, next day</t>
  </si>
  <si>
    <t xml:space="preserve">Binary event contract (YES/NO). YES pays 1.00 USDC per contract if the Payout Criterion is met at Expiration, else 0. Price 0.01–0.99 USDC, tick 0.01; fully collateralised (max loss = premium). Also 1°C brackets.</t>
  </si>
  <si>
    <t xml:space="preserve">YES = 1 if official daily max ≥ 38.0°C.</t>
  </si>
  <si>
    <t xml:space="preserve">Daily maximum temperature at the named station for 00:00–23:59 GST as published by the UAE National Center of Meteorology; METAR/SYNOP as check.</t>
  </si>
  <si>
    <t xml:space="preserve">Source Agency: UAE National Center of Meteorology (ncm.gov.ae); fallback OGIMET SYNOP for OMDB. SarvaeX oracle: automated ingest from Source Agency + independent second-source check; Settlement Committee confirms and publishes notice; 30-min review window before final payout.</t>
  </si>
  <si>
    <t xml:space="preserve">Missing report: SYNOP max; inconsistent readings trigger review (Kalshi 3 Sep 2026 practice).</t>
  </si>
  <si>
    <t xml:space="preserve">https://www.ncm.gov.ae/</t>
  </si>
  <si>
    <t xml:space="preserve">Pairs with SXF-HIGHDXB.</t>
  </si>
  <si>
    <t xml:space="preserve">Internal MM; weather-model pricing.</t>
  </si>
  <si>
    <t xml:space="preserve">NCM feed &amp; licence; station lock (no substitution).</t>
  </si>
  <si>
    <t xml:space="preserve">SXF-HIGHDXB-26OCT15</t>
  </si>
  <si>
    <t xml:space="preserve">Dubai max temp (futures)</t>
  </si>
  <si>
    <t xml:space="preserve">Underlying: Official daily max temperature (°C), Dubai International, 15 Oct 2026.</t>
  </si>
  <si>
    <t xml:space="preserve">23:59 GST</t>
  </si>
  <si>
    <t xml:space="preserve">Next day</t>
  </si>
  <si>
    <t xml:space="preserve">(FSV − Entry) × US$10 per °C.</t>
  </si>
  <si>
    <t xml:space="preserve">0.1°C = US$1; band ±8°C</t>
  </si>
  <si>
    <t xml:space="preserve">US$10 per °C</t>
  </si>
  <si>
    <t xml:space="preserve">FSV = official max (0.1°C).</t>
  </si>
  <si>
    <t xml:space="preserve">NCM. SarvaeX oracle: automated ingest from Source Agency + independent second-source check; Settlement Committee confirms and publishes notice; 30-min review window before final payout.</t>
  </si>
  <si>
    <t xml:space="preserve">REG-ME-05</t>
  </si>
  <si>
    <t xml:space="preserve">SX-TASI-26OCT29-ATM</t>
  </si>
  <si>
    <t xml:space="preserve">Saudi Arabia</t>
  </si>
  <si>
    <t xml:space="preserve">Local equities – TASI</t>
  </si>
  <si>
    <t xml:space="preserve">TASI above &lt;K&gt; on 29 Oct?</t>
  </si>
  <si>
    <t xml:space="preserve">Will the Tadawul All Share Index (TASI) official close be above K on Thu 29 Oct 2026? (K = listing-day close rounded to nearest 100; 100-pt ladder)</t>
  </si>
  <si>
    <t xml:space="preserve">Saudi TASI has been the Gulf's relative anchor during the war (oil-linked, Aramco profits up 44% in Q2), while Dubai's DFM fell ~16% early in the conflict. Local-session equity habit product.</t>
  </si>
  <si>
    <t xml:space="preserve">T11</t>
  </si>
  <si>
    <t xml:space="preserve">P:4436879 (index template)</t>
  </si>
  <si>
    <t xml:space="preserve">29 Oct 2026 14:59 AST</t>
  </si>
  <si>
    <t xml:space="preserve">Official TASI close, ~15:00–15:20 AST (post closing auction)</t>
  </si>
  <si>
    <t xml:space="preserve">YES = 1 if official close &gt; K.</t>
  </si>
  <si>
    <t xml:space="preserve">Official closing value of TASI for the named Saudi trading day (Sun–Thu).</t>
  </si>
  <si>
    <t xml:space="preserve">Source Agency: Saudi Exchange official index close (licensed). SarvaeX oracle: automated ingest from Source Agency + independent second-source check; Settlement Committee confirms and publishes notice; 30-min review window before final payout.</t>
  </si>
  <si>
    <t xml:space="preserve">Unscheduled closure: next official close.</t>
  </si>
  <si>
    <t xml:space="preserve">https://www.saudiexchange.sa/</t>
  </si>
  <si>
    <t xml:space="preserve">Pairs with SXF-TASI.</t>
  </si>
  <si>
    <t xml:space="preserve">Local liquidity providers needed; hedge via MSCI Saudi ETFs (basis).</t>
  </si>
  <si>
    <t xml:space="preserve">Saudi Exchange/Tadawul data licence; Sun–Thu calendar.</t>
  </si>
  <si>
    <t xml:space="preserve">SXF-TASI-26OCT29</t>
  </si>
  <si>
    <t xml:space="preserve">TASI 29-Oct (futures)</t>
  </si>
  <si>
    <t xml:space="preserve">Underlying: TASI official close, 29 Oct 2026.</t>
  </si>
  <si>
    <t xml:space="preserve">14:59 AST</t>
  </si>
  <si>
    <t xml:space="preserve">(FSV − Entry) × US$0.10 per point.</t>
  </si>
  <si>
    <t xml:space="preserve">1 pt = US$0.10; band ±8%</t>
  </si>
  <si>
    <t xml:space="preserve">Saudi Exchange. SarvaeX oracle: automated ingest from Source Agency + independent second-source check; Settlement Committee confirms and publishes notice; 30-min review window before final payout.</t>
  </si>
  <si>
    <t xml:space="preserve">ETF hedge.</t>
  </si>
  <si>
    <t xml:space="preserve">REG-ME-06</t>
  </si>
  <si>
    <t xml:space="preserve">SX-USIRAN-CF-26OCT31</t>
  </si>
  <si>
    <t xml:space="preserve">Middle East</t>
  </si>
  <si>
    <t xml:space="preserve">Geopolitics – diplomacy</t>
  </si>
  <si>
    <t xml:space="preserve">US–Iran ceasefire agreed by 31 Oct?</t>
  </si>
  <si>
    <t xml:space="preserve">Will the United States and Iran both officially announce a mutually agreed ceasefire before 31 Oct 2026 23:59 UTC?</t>
  </si>
  <si>
    <t xml:space="preserve">The April two-week US–Iran ceasefire lapsed without a deal; talks stalled in August and strikes resumed in September. Polymarket lists ~200 Iran markets (US$228m+ traded).</t>
  </si>
  <si>
    <t xml:space="preserve">T01</t>
  </si>
  <si>
    <t xml:space="preserve">P:4443001 (Israel–Iran ceasefire, 2¢); P:2696747 (nuclear deal)</t>
  </si>
  <si>
    <t xml:space="preserve">31 Oct 2026 23:59 UTC (or on event)</t>
  </si>
  <si>
    <t xml:space="preserve">On official confirmation by both governments</t>
  </si>
  <si>
    <t xml:space="preserve">YES = 1 if qualifying announcement occurs in window.</t>
  </si>
  <si>
    <t xml:space="preserve">Publicly announced, mutually agreed halt in direct military engagement confirmed by official statements of BOTH the US Government (White House/State Dept) and the Government of Iran (Foreign Ministry). Unilateral pauses do not qualify.</t>
  </si>
  <si>
    <t xml:space="preserve">Source Agency hierarchy: official government statements; then consensus of Reuters, AP, AFP, Bloomberg. SarvaeX oracle: automated ingest from Source Agency + independent second-source check; Settlement Committee confirms and publishes notice; 30-min review window before final payout.</t>
  </si>
  <si>
    <t xml:space="preserve">Disputed claims: Settlement Committee waits up to 72 h for second-party confirmation.</t>
  </si>
  <si>
    <t xml:space="preserve">https://polymarket.com/iran</t>
  </si>
  <si>
    <t xml:space="preserve">No exact scalar – futures leg is a PROXY: SXF-BRENT (cross-hedge; ceasefire ⇒ oil falls). Basis risk disclosed.</t>
  </si>
  <si>
    <t xml:space="preserve">Polymarket/Limitless analogues for MM lay-off after rule alignment.</t>
  </si>
  <si>
    <t xml:space="preserve">Geopolitical: list only objective, officially documented outcomes. No markets on strikes, casualties, assassinations or military actions. Conduct/insider-information policy required.</t>
  </si>
  <si>
    <t xml:space="preserve">P2 – conduct review</t>
  </si>
  <si>
    <t xml:space="preserve">SXF-BRENT-26OCT30 (proxy)</t>
  </si>
  <si>
    <t xml:space="preserve">Proxy hedge: Brent futures</t>
  </si>
  <si>
    <t xml:space="preserve">Proxy futures leg: ICE Brent Dec-26 settlement (see REG-ME-01).</t>
  </si>
  <si>
    <t xml:space="preserve">30 Oct 2026</t>
  </si>
  <si>
    <t xml:space="preserve">ICE settlement</t>
  </si>
  <si>
    <t xml:space="preserve">Proxy linear hedge – not co-settling on the same event</t>
  </si>
  <si>
    <t xml:space="preserve">See REG-ME-01.</t>
  </si>
  <si>
    <t xml:space="preserve">See REG-ME-01</t>
  </si>
  <si>
    <t xml:space="preserve">ICE.</t>
  </si>
  <si>
    <t xml:space="preserve">Cross-hedge only.</t>
  </si>
  <si>
    <t xml:space="preserve">REG-ME-07</t>
  </si>
  <si>
    <t xml:space="preserve">SX-SPL-RIYDERBY-HIL</t>
  </si>
  <si>
    <t xml:space="preserve">Sports – football</t>
  </si>
  <si>
    <t xml:space="preserve">Al-Hilal to win the Riyadh derby?</t>
  </si>
  <si>
    <t xml:space="preserve">Will Al-Hilal beat Al-Nassr in their next Saudi Pro League meeting (90 min + stoppage)? (fixture per SPL calendar)</t>
  </si>
  <si>
    <t xml:space="preserve">Saudi Pro League star-studded clubs (Al-Hilal, Al-Nassr, Al-Ittihad) draw massive Gulf and South Asian audiences; the Riyadh derby is the marquee fixture.</t>
  </si>
  <si>
    <t xml:space="preserve">T13</t>
  </si>
  <si>
    <t xml:space="preserve">Soccer 1X2 (Kalshi/Polymarket)</t>
  </si>
  <si>
    <t xml:space="preserve">Kick-off / in-play</t>
  </si>
  <si>
    <t xml:space="preserve">Binary event contract (YES/NO). YES pays 1.00 USDC per contract if the Payout Criterion is met at Expiration, else 0. Price 0.01–0.99 USDC, tick 0.01; fully collateralised (max loss = premium). 1X2 set.</t>
  </si>
  <si>
    <t xml:space="preserve">YES = 1 if Al-Hilal wins in regulation.</t>
  </si>
  <si>
    <t xml:space="preserve">Official SPL result after regulation time.</t>
  </si>
  <si>
    <t xml:space="preserve">Source Agency: Saudi Pro League official result via licensed provider. SarvaeX oracle: automated ingest from Source Agency + independent second-source check; Settlement Committee confirms and publishes notice; 30-min review window before final payout.</t>
  </si>
  <si>
    <t xml:space="preserve">Postponed &gt;48 h: void.</t>
  </si>
  <si>
    <t xml:space="preserve">https://www.spl.com.sa/</t>
  </si>
  <si>
    <t xml:space="preserve">Internal MM with licensed odds feed.</t>
  </si>
  <si>
    <t xml:space="preserve">SXF-SPL-RIYDERBY-GD</t>
  </si>
  <si>
    <t xml:space="preserve">Derby goal difference (futures)</t>
  </si>
  <si>
    <t xml:space="preserve">Underlying: Goal difference (Al-Hilal − Al-Nassr) at full time.</t>
  </si>
  <si>
    <t xml:space="preserve">0.05 goal</t>
  </si>
  <si>
    <t xml:space="preserve">FSV = official GD.</t>
  </si>
  <si>
    <t xml:space="preserve">SPL. SarvaeX oracle: automated ingest from Source Agency + independent second-source check; Settlement Committee confirms and publishes notice; 30-min review window before final payout.</t>
  </si>
  <si>
    <t xml:space="preserve">1X2 = digitals on GD.</t>
  </si>
  <si>
    <t xml:space="preserve">REG-AS-01</t>
  </si>
  <si>
    <t xml:space="preserve">SX-BOJDEC-26SEP-H25</t>
  </si>
  <si>
    <t xml:space="preserve">Japan / Asia</t>
  </si>
  <si>
    <t xml:space="preserve">BOJ to hike in September?</t>
  </si>
  <si>
    <t xml:space="preserve">Will the Bank of Japan raise its short-term policy interest rate by 25 bp at the 17–18 Sep 2026 Monetary Policy Meeting? (series rolls to each MPM)</t>
  </si>
  <si>
    <t xml:space="preserve">BOJ meets 17–18 Sep with a hike to 1.25% nearly fully priced; yen weakness, a joint US–Japan intervention and 10Y JGB at 3% (first since 1996) keep Japan rates in focus.</t>
  </si>
  <si>
    <t xml:space="preserve">T03, T11</t>
  </si>
  <si>
    <t xml:space="preserve">18 Sep 2026, 1 min before release (~noon JST)</t>
  </si>
  <si>
    <t xml:space="preserve">BOJ 'Statement on Monetary Policy' release</t>
  </si>
  <si>
    <t xml:space="preserve">Binary event contract (YES/NO). YES pays 1.00 USDC per contract if the Payout Criterion is met at Expiration, else 0. Price 0.01–0.99 USDC, tick 0.01; fully collateralised (max loss = premium). Outcome set Cut/Hold/+25/&gt;+25.</t>
  </si>
  <si>
    <t xml:space="preserve">YES = 1 if new target − prior target = +0.25 pp.</t>
  </si>
  <si>
    <t xml:space="preserve">Guideline for the uncollateralised overnight call rate stated in the BOJ statement vs prior guideline. Japanese text governs if versions conflict.</t>
  </si>
  <si>
    <t xml:space="preserve">Source Agency: Bank of Japan (boj.or.jp/en/mopo). SarvaeX oracle: automated ingest from Source Agency + independent second-source check; Settlement Committee confirms and publishes notice; 30-min review window before final payout.</t>
  </si>
  <si>
    <t xml:space="preserve">Meeting postponed &gt;7 days: Hold.</t>
  </si>
  <si>
    <t xml:space="preserve">https://www.boj.or.jp/en/mopo/index.htm</t>
  </si>
  <si>
    <t xml:space="preserve">Pairs with SXF-BOJRATE.</t>
  </si>
  <si>
    <t xml:space="preserve">Hedge proxies: TONA OIS, JGB futures, USD/JPY.</t>
  </si>
  <si>
    <t xml:space="preserve">Low integrity risk.</t>
  </si>
  <si>
    <t xml:space="preserve">SXF-BOJRATE-26SEP</t>
  </si>
  <si>
    <t xml:space="preserve">BOJ policy rate (futures)</t>
  </si>
  <si>
    <t xml:space="preserve">Underlying: BOJ policy rate guideline (%) after the 17–18 Sep 2026 MPM.</t>
  </si>
  <si>
    <t xml:space="preserve">18 Sep ~noon JST −1 min</t>
  </si>
  <si>
    <t xml:space="preserve">BOJ statement</t>
  </si>
  <si>
    <t xml:space="preserve">FSV = stated guideline (e.g., 1.25).</t>
  </si>
  <si>
    <t xml:space="preserve">BOJ. SarvaeX oracle: automated ingest from Source Agency + independent second-source check; Settlement Committee confirms and publishes notice; 30-min review window before final payout.</t>
  </si>
  <si>
    <t xml:space="preserve">TONA OIS.</t>
  </si>
  <si>
    <t xml:space="preserve">REG-AS-02</t>
  </si>
  <si>
    <t xml:space="preserve">SX-USDJPY-26OCT30-T155</t>
  </si>
  <si>
    <t xml:space="preserve">FX – yen</t>
  </si>
  <si>
    <t xml:space="preserve">Dollar above ¥155 end-Oct?</t>
  </si>
  <si>
    <t xml:space="preserve">Will USD/JPY be above 155.00 at 17:00 ET on Fri 30 Oct 2026?</t>
  </si>
  <si>
    <t xml:space="preserve">USD/JPY ~153.5 near a 7-month low after hawkish BOJ repricing and US Treasury pressure for decisive action on yen weakness; intervention risk is a live topic.</t>
  </si>
  <si>
    <t xml:space="preserve">K:KXEURUSDAW (Pyth FX template)</t>
  </si>
  <si>
    <t xml:space="preserve">17:00 ET – Pyth FX.USD/JPY (60-s average)</t>
  </si>
  <si>
    <t xml:space="preserve">YES = 1 if reference &gt; 155.00.</t>
  </si>
  <si>
    <t xml:space="preserve">60-s average of Pyth USD/JPY aggregate price ending 17:00 ET (mirrors Kalshi FX methodology).</t>
  </si>
  <si>
    <t xml:space="preserve">Source Agency: Pyth Network. SarvaeX oracle: automated ingest from Source Agency + independent second-source check; Settlement Committee confirms and publishes notice; 30-min review window before final payout.</t>
  </si>
  <si>
    <t xml:space="preserve">Stale feed: next valid window within 5 min; then WM/R 4pm fix.</t>
  </si>
  <si>
    <t xml:space="preserve">https://assets.kalshi.com/contract_terms/FXEURUSD.pdf (template)</t>
  </si>
  <si>
    <t xml:space="preserve">Pairs with SXF-USDJPY.</t>
  </si>
  <si>
    <t xml:space="preserve">Deep spot/CME 6J hedge.</t>
  </si>
  <si>
    <t xml:space="preserve">Pyth feed licence or WM/R fix licence.</t>
  </si>
  <si>
    <t xml:space="preserve">SXF-USDJPY-26OCT30</t>
  </si>
  <si>
    <t xml:space="preserve">USD/JPY (futures)</t>
  </si>
  <si>
    <t xml:space="preserve">Underlying: Pyth USD/JPY 60-s average at 17:00 ET, 30 Oct 2026.</t>
  </si>
  <si>
    <t xml:space="preserve">(FSV − Entry) × US$100 per 1.00 JPY.</t>
  </si>
  <si>
    <t xml:space="preserve">0.005 = US$0.50; band ±4%</t>
  </si>
  <si>
    <t xml:space="preserve">US$100 per 1.00 JPY</t>
  </si>
  <si>
    <t xml:space="preserve">FSV = reference rate.</t>
  </si>
  <si>
    <t xml:space="preserve">REG-AS-03</t>
  </si>
  <si>
    <t xml:space="preserve">SX-N225-26OCT30-ATM</t>
  </si>
  <si>
    <t xml:space="preserve">Local equities – Nikkei 225</t>
  </si>
  <si>
    <t xml:space="preserve">Nikkei above &lt;K&gt; on 30 Oct?</t>
  </si>
  <si>
    <t xml:space="preserve">Will the Nikkei 225 official close be above K on Fri 30 Oct 2026? (K = listing-day close rounded to nearest 500; 250-pt ladder)</t>
  </si>
  <si>
    <t xml:space="preserve">Nikkei fell ~2% in the first week of Sep on rising JGB yields and BOJ hike expectations; a liquid Asian-session index for users in Asia and the Gulf.</t>
  </si>
  <si>
    <t xml:space="preserve">K:KXNASDAQ100U (index template)</t>
  </si>
  <si>
    <t xml:space="preserve">30 Oct 2026 15:29 JST</t>
  </si>
  <si>
    <t xml:space="preserve">Official close (TSE 15:30 JST session end)</t>
  </si>
  <si>
    <t xml:space="preserve">Official Nikkei Stock Average closing value.</t>
  </si>
  <si>
    <t xml:space="preserve">Source Agency: Nikkei Inc. (licensed). SarvaeX oracle: automated ingest from Source Agency + independent second-source check; Settlement Committee confirms and publishes notice; 30-min review window before final payout.</t>
  </si>
  <si>
    <t xml:space="preserve">Market closure: next official close.</t>
  </si>
  <si>
    <t xml:space="preserve">https://indexes.nikkei.co.jp/en/nkave</t>
  </si>
  <si>
    <t xml:space="preserve">Pairs with SXF-N225.</t>
  </si>
  <si>
    <t xml:space="preserve">OSE/SGX/CME Nikkei futures hedge.</t>
  </si>
  <si>
    <t xml:space="preserve">Nikkei Inc. index licence.</t>
  </si>
  <si>
    <t xml:space="preserve">SXF-N225-26OCT30</t>
  </si>
  <si>
    <t xml:space="preserve">Nikkei 225 (futures)</t>
  </si>
  <si>
    <t xml:space="preserve">Underlying: Nikkei 225 official close, 30 Oct 2026.</t>
  </si>
  <si>
    <t xml:space="preserve">15:29 JST</t>
  </si>
  <si>
    <t xml:space="preserve">(FSV − Entry) × US$0.01 per point.</t>
  </si>
  <si>
    <t xml:space="preserve">5 pts = US$0.05; band ±8%</t>
  </si>
  <si>
    <t xml:space="preserve">US$0.01 per point</t>
  </si>
  <si>
    <t xml:space="preserve">Nikkei. SarvaeX oracle: automated ingest from Source Agency + independent second-source check; Settlement Committee confirms and publishes notice; 30-min review window before final payout.</t>
  </si>
  <si>
    <t xml:space="preserve">NK futures.</t>
  </si>
  <si>
    <t xml:space="preserve">REG-AS-04</t>
  </si>
  <si>
    <t xml:space="preserve">SX-LPR1Y-26OCT-CUT</t>
  </si>
  <si>
    <t xml:space="preserve">China / Asia</t>
  </si>
  <si>
    <t xml:space="preserve">China to cut 1-year LPR in October?</t>
  </si>
  <si>
    <t xml:space="preserve">Will the 1-year Loan Prime Rate published on 20 Oct 2026 be lower than 3.00%?</t>
  </si>
  <si>
    <t xml:space="preserve">PBoC has held the 1-year LPR at 3.0% and 5-year at 3.5% since May 2025 despite weak data and stimulus calls; LPR is set on the 20th each month.</t>
  </si>
  <si>
    <t xml:space="preserve">T16</t>
  </si>
  <si>
    <t xml:space="preserve">20 Oct 2026 09:00 CST (1 min before)</t>
  </si>
  <si>
    <t xml:space="preserve">LPR publication 09:15 Beijing time (National Interbank Funding Center)</t>
  </si>
  <si>
    <t xml:space="preserve">YES = 1 if 1Y LPR &lt; 3.00%.</t>
  </si>
  <si>
    <t xml:space="preserve">1-year LPR as published by the National Interbank Funding Center under PBoC authorisation for the named month.</t>
  </si>
  <si>
    <t xml:space="preserve">Source Agency: PBoC / CFETS–National Interbank Funding Center (chinamoney.com.cn). SarvaeX oracle: automated ingest from Source Agency + independent second-source check; Settlement Committee confirms and publishes notice; 30-min review window before final payout.</t>
  </si>
  <si>
    <t xml:space="preserve">Holiday shift: next publication day.</t>
  </si>
  <si>
    <t xml:space="preserve">https://www.chinamoney.com.cn/</t>
  </si>
  <si>
    <t xml:space="preserve">Pairs with SXF-LPR1Y.</t>
  </si>
  <si>
    <t xml:space="preserve">Internal; low vol.</t>
  </si>
  <si>
    <t xml:space="preserve">Low integrity risk; mainland-user access restricted.</t>
  </si>
  <si>
    <t xml:space="preserve">SXF-LPR1Y-26OCT</t>
  </si>
  <si>
    <t xml:space="preserve">China 1Y LPR (futures)</t>
  </si>
  <si>
    <t xml:space="preserve">Underlying: 1-year LPR (%) published 20 Oct 2026.</t>
  </si>
  <si>
    <t xml:space="preserve">20 Oct 09:14 CST</t>
  </si>
  <si>
    <t xml:space="preserve">09:15 CST</t>
  </si>
  <si>
    <t xml:space="preserve">0.01 pp</t>
  </si>
  <si>
    <t xml:space="preserve">FSV = published 1Y LPR.</t>
  </si>
  <si>
    <t xml:space="preserve">NIFC. SarvaeX oracle: automated ingest from Source Agency + independent second-source check; Settlement Committee confirms and publishes notice; 30-min review window before final payout.</t>
  </si>
  <si>
    <t xml:space="preserve">REG-AS-05</t>
  </si>
  <si>
    <t xml:space="preserve">SX-HIGHTYO-26OCT01-B24</t>
  </si>
  <si>
    <t xml:space="preserve">Tokyo high 24°C on 1 Oct?</t>
  </si>
  <si>
    <t xml:space="preserve">Will the official maximum temperature at Tokyo (JMA station 'Tokyo', Otemachi/Kitanomaru) be 24.0–24.9°C on Thu 1 Oct 2026? (1°C brackets)</t>
  </si>
  <si>
    <t xml:space="preserve">Polymarket's Asian city daily-high markets (Tokyo, Shanghai, Taipei, Singapore) show real activity (e.g., Singapore US$21k/24h), but books are often one-sided – room for a better-quoted, official-source version.</t>
  </si>
  <si>
    <t xml:space="preserve">P:4400042 (Tokyo, Wunderground-settled)</t>
  </si>
  <si>
    <t xml:space="preserve">1 Oct 2026 23:59 JST</t>
  </si>
  <si>
    <t xml:space="preserve">JMA daily data publication (next day)</t>
  </si>
  <si>
    <t xml:space="preserve">Binary event contract (YES/NO). YES pays 1.00 USDC per contract if the Payout Criterion is met at Expiration, else 0. Price 0.01–0.99 USDC, tick 0.01; fully collateralised (max loss = premium). Brackets.</t>
  </si>
  <si>
    <t xml:space="preserve">YES = 1 if official max in bracket.</t>
  </si>
  <si>
    <t xml:space="preserve">JMA daily maximum for the named station and JST calendar day. Polymarket uses Haneda (RJTT) via Wunderground – different station.</t>
  </si>
  <si>
    <t xml:space="preserve">Source Agency: Japan Meteorological Agency (jma.go.jp). SarvaeX oracle: automated ingest from Source Agency + independent second-source check; Settlement Committee confirms and publishes notice; 30-min review window before final payout.</t>
  </si>
  <si>
    <t xml:space="preserve">Missing data: JMA AMeDAS 10-min record max.</t>
  </si>
  <si>
    <t xml:space="preserve">https://www.data.jma.go.jp/</t>
  </si>
  <si>
    <t xml:space="preserve">Pairs with SXF-HIGHTYO.</t>
  </si>
  <si>
    <t xml:space="preserve">JMA data terms; station lock.</t>
  </si>
  <si>
    <t xml:space="preserve">SXF-HIGHTYO-26OCT01</t>
  </si>
  <si>
    <t xml:space="preserve">Tokyo max temp (futures)</t>
  </si>
  <si>
    <t xml:space="preserve">Underlying: JMA official daily max (°C), Tokyo, 1 Oct 2026.</t>
  </si>
  <si>
    <t xml:space="preserve">23:59 JST</t>
  </si>
  <si>
    <t xml:space="preserve">0.1°C</t>
  </si>
  <si>
    <t xml:space="preserve">FSV = official max.</t>
  </si>
  <si>
    <t xml:space="preserve">JMA. SarvaeX oracle: automated ingest from Source Agency + independent second-source check; Settlement Committee confirms and publishes notice; 30-min review window before final payout.</t>
  </si>
  <si>
    <t xml:space="preserve">REG-AS-06</t>
  </si>
  <si>
    <t xml:space="preserve">SX-BTCASIA-26OCT30H0800Z-T80000</t>
  </si>
  <si>
    <t xml:space="preserve">Asia / India / GCC</t>
  </si>
  <si>
    <t xml:space="preserve">Crypto – Asian-session BTC</t>
  </si>
  <si>
    <t xml:space="preserve">BTC above $80k at Asia close?</t>
  </si>
  <si>
    <t xml:space="preserve">Will Bitcoin be at or above US$80,000 at 16:00 SGT / 13:30 IST / 12:00 GST (08:00 UTC) on Fri 30 Oct 2026?</t>
  </si>
  <si>
    <t xml:space="preserve">Bitcoin ~US$77k (11 Sep), down ~39% from its US$126k Oct-2025 high, with a 2026 low of US$57.7k. Kalshi's 5 pm ET close falls at 02:30 IST / 01:00 GST – an Asian-session close is a scheduling test.</t>
  </si>
  <si>
    <t xml:space="preserve">T14</t>
  </si>
  <si>
    <t xml:space="preserve">K:KXBTCD (US-session template)</t>
  </si>
  <si>
    <t xml:space="preserve">07:59 UTC</t>
  </si>
  <si>
    <t xml:space="preserve">08:00 UTC – 60-s average CF BRTI</t>
  </si>
  <si>
    <t xml:space="preserve">YES = 1 if 60-s BRTI average ≥ strike.</t>
  </si>
  <si>
    <t xml:space="preserve">Same benchmark and averaging as STD-CRY-01; only the observation instant differs (UTC instant governs; local times are display only).</t>
  </si>
  <si>
    <t xml:space="preserve">CF Benchmarks BRTI. SarvaeX oracle: automated ingest from Source Agency + independent second-source check; Settlement Committee confirms and publishes notice; 30-min review window before final payout.</t>
  </si>
  <si>
    <t xml:space="preserve">As STD-CRY-01.</t>
  </si>
  <si>
    <t xml:space="preserve">https://assets.kalshi.com/contract_terms/BTC.pdf (template)</t>
  </si>
  <si>
    <t xml:space="preserve">Pairs with SXF-BTCASIA.</t>
  </si>
  <si>
    <t xml:space="preserve">Hedge in perps/CME; not identical to Kalshi expiry.</t>
  </si>
  <si>
    <t xml:space="preserve">New observation time breaks hedge equivalence with Kalshi – price basis explicitly.</t>
  </si>
  <si>
    <t xml:space="preserve">P2 – second wave</t>
  </si>
  <si>
    <t xml:space="preserve">SXF-BTCASIA-26OCT30H0800Z</t>
  </si>
  <si>
    <t xml:space="preserve">BTC Asia close (futures)</t>
  </si>
  <si>
    <t xml:space="preserve">Underlying: 60-s average BRTI at 08:00 UTC, 30 Oct 2026.</t>
  </si>
  <si>
    <t xml:space="preserve">08:00 UTC</t>
  </si>
  <si>
    <t xml:space="preserve">US$1</t>
  </si>
  <si>
    <t xml:space="preserve">Perps.</t>
  </si>
  <si>
    <t xml:space="preserve">REG-EU-01</t>
  </si>
  <si>
    <t xml:space="preserve">SX-ECBDEC-26OCT-H25</t>
  </si>
  <si>
    <t xml:space="preserve">Europe</t>
  </si>
  <si>
    <t xml:space="preserve">ECB to hike again on 29 Oct?</t>
  </si>
  <si>
    <t xml:space="preserve">Will the ECB raise the deposit facility rate by 25 bp at its 29 Oct 2026 monetary policy meeting? (Cut/Hold/+25/&gt;+25)</t>
  </si>
  <si>
    <t xml:space="preserve">ECB raised the deposit rate to 2.50% on 10 Sep (second hike of 2026) citing Middle East energy inflation; markets price ~75% odds of another hike on 29 Oct.</t>
  </si>
  <si>
    <t xml:space="preserve">T03, T13</t>
  </si>
  <si>
    <t xml:space="preserve">29 Oct 2026 14:14 CET</t>
  </si>
  <si>
    <t xml:space="preserve">ECB monetary policy decision press release, 14:15 CET</t>
  </si>
  <si>
    <t xml:space="preserve">Binary event contract (YES/NO). YES pays 1.00 USDC per contract if the Payout Criterion is met at Expiration, else 0. Price 0.01–0.99 USDC, tick 0.01; fully collateralised (max loss = premium). Outcome set.</t>
  </si>
  <si>
    <t xml:space="preserve">YES = 1 if new DFR − prior DFR = +0.25 pp.</t>
  </si>
  <si>
    <t xml:space="preserve">Deposit facility rate only (not MRO or MLF), as announced for the named meeting, regardless of effective date.</t>
  </si>
  <si>
    <t xml:space="preserve">Source Agency: European Central Bank press release (ecb.europa.eu). SarvaeX oracle: automated ingest from Source Agency + independent second-source check; Settlement Committee confirms and publishes notice; 30-min review window before final payout.</t>
  </si>
  <si>
    <t xml:space="preserve">Postponed &gt;7 days: Hold.</t>
  </si>
  <si>
    <t xml:space="preserve">https://www.ecb.europa.eu/press/govcdec/mopo/html/index.en.html</t>
  </si>
  <si>
    <t xml:space="preserve">Pairs with SXF-ECBDFR.</t>
  </si>
  <si>
    <t xml:space="preserve">€STR futures/OIS hedge.</t>
  </si>
  <si>
    <t xml:space="preserve">SXF-ECBDFR-26OCT</t>
  </si>
  <si>
    <t xml:space="preserve">ECB deposit rate (futures)</t>
  </si>
  <si>
    <t xml:space="preserve">Underlying: ECB deposit facility rate (%) announced 29 Oct 2026.</t>
  </si>
  <si>
    <t xml:space="preserve">14:14 CET</t>
  </si>
  <si>
    <t xml:space="preserve">14:15 CET</t>
  </si>
  <si>
    <t xml:space="preserve">FSV = announced DFR (e.g., 2.75).</t>
  </si>
  <si>
    <t xml:space="preserve">ECB. SarvaeX oracle: automated ingest from Source Agency + independent second-source check; Settlement Committee confirms and publishes notice; 30-min review window before final payout.</t>
  </si>
  <si>
    <t xml:space="preserve">€STR futures.</t>
  </si>
  <si>
    <t xml:space="preserve">REG-EU-02</t>
  </si>
  <si>
    <t xml:space="preserve">SX-EZHICP-26OCT-T3.0</t>
  </si>
  <si>
    <t xml:space="preserve">Euro-area inflation above 3%?</t>
  </si>
  <si>
    <t xml:space="preserve">Will the Eurostat flash estimate of euro-area HICP annual inflation for October 2026 be above 3.0%? (0.1 ladder 2.5–3.8)</t>
  </si>
  <si>
    <t xml:space="preserve">Euro-area HICP rose to 3.3% in August (energy +14.3% y/y), the highest since early 2023; the ECB sees inflation above target for an extended period.</t>
  </si>
  <si>
    <t xml:space="preserve">K:KXCPIYOY (template)</t>
  </si>
  <si>
    <t xml:space="preserve">1 min before Eurostat flash release</t>
  </si>
  <si>
    <t xml:space="preserve">Eurostat flash estimate, 11:00 CET (per Eurostat release calendar, ~30 Oct–3 Nov 2026)</t>
  </si>
  <si>
    <t xml:space="preserve">YES = 1 if flash headline HICP YoY &gt; 3.0.</t>
  </si>
  <si>
    <t xml:space="preserve">Headline all-items HICP annual rate for the euro area in the flash estimate (not the final release).</t>
  </si>
  <si>
    <t xml:space="preserve">Source Agency: Eurostat (ec.europa.eu/eurostat). SarvaeX oracle: automated ingest from Source Agency + independent second-source check; Settlement Committee confirms and publishes notice; 30-min review window before final payout.</t>
  </si>
  <si>
    <t xml:space="preserve">First official release at Expiration governs; later revisions ignored. If the Source Agency release is delayed, Expiration moves to the release date for up to 7 calendar days; beyond that the binary settles per series terms and the futures settles at the last official daily settlement price (VWAP of final 30 min).</t>
  </si>
  <si>
    <t xml:space="preserve">https://ec.europa.eu/eurostat/news/release-calendar</t>
  </si>
  <si>
    <t xml:space="preserve">Pairs with SXF-EZHICP.</t>
  </si>
  <si>
    <t xml:space="preserve">Euro inflation swaps (basis).</t>
  </si>
  <si>
    <t xml:space="preserve">SXF-EZHICP-26OCT</t>
  </si>
  <si>
    <t xml:space="preserve">Euro HICP flash (futures)</t>
  </si>
  <si>
    <t xml:space="preserve">Underlying: Euro-area HICP flash annual rate (%), Oct 2026.</t>
  </si>
  <si>
    <t xml:space="preserve">Flash release</t>
  </si>
  <si>
    <t xml:space="preserve">FSV = flash estimate (1 decimal).</t>
  </si>
  <si>
    <t xml:space="preserve">Eurostat. SarvaeX oracle: automated ingest from Source Agency + independent second-source check; Settlement Committee confirms and publishes notice; 30-min review window before final payout.</t>
  </si>
  <si>
    <t xml:space="preserve">HICPxT swaps.</t>
  </si>
  <si>
    <t xml:space="preserve">REG-EU-03</t>
  </si>
  <si>
    <t xml:space="preserve">SX-TTF-26OCT30-ATM</t>
  </si>
  <si>
    <t xml:space="preserve">Energy – natural gas</t>
  </si>
  <si>
    <t xml:space="preserve">EU gas (TTF) above &lt;K&gt; end-Oct?</t>
  </si>
  <si>
    <t xml:space="preserve">Will the ICE Endex Dutch TTF Dec-26 futures settle above K €/MWh on Fri 30 Oct 2026? (K = listing-day settlement rounded to €1; €1 ladder)</t>
  </si>
  <si>
    <t xml:space="preserve">Qatar LNG flows through Hormuz; the energy shock drove euro-area energy inflation to +14% y/y. Dutch TTF is Europe's benchmark gas price.</t>
  </si>
  <si>
    <t xml:space="preserve">None in snapshot (energy template = KXWTI)</t>
  </si>
  <si>
    <t xml:space="preserve">30 Oct 2026 17:29 London</t>
  </si>
  <si>
    <t xml:space="preserve">ICE Endex official settlement</t>
  </si>
  <si>
    <t xml:space="preserve">YES = 1 if settlement &gt; K.</t>
  </si>
  <si>
    <t xml:space="preserve">Official daily settlement of the named TTF contract month.</t>
  </si>
  <si>
    <t xml:space="preserve">Source Agency: ICE Endex (licensed). SarvaeX oracle: automated ingest from Source Agency + independent second-source check; Settlement Committee confirms and publishes notice; 30-min review window before final payout.</t>
  </si>
  <si>
    <t xml:space="preserve">Next business day.</t>
  </si>
  <si>
    <t xml:space="preserve">https://www.ice.com/products/27996665/Dutch-TTF-Gas-Futures</t>
  </si>
  <si>
    <t xml:space="preserve">Pairs with SXF-TTF.</t>
  </si>
  <si>
    <t xml:space="preserve">ICE TTF hedge.</t>
  </si>
  <si>
    <t xml:space="preserve">ICE Endex data licence.</t>
  </si>
  <si>
    <t xml:space="preserve">SXF-TTF-26OCT30</t>
  </si>
  <si>
    <t xml:space="preserve">TTF Dec-26 (futures)</t>
  </si>
  <si>
    <t xml:space="preserve">Underlying: ICE Endex TTF Dec-26 settlement (€/MWh), 30 Oct 2026.</t>
  </si>
  <si>
    <t xml:space="preserve">17:29 London</t>
  </si>
  <si>
    <t xml:space="preserve">Settlement</t>
  </si>
  <si>
    <t xml:space="preserve">(FSV − Entry) × US$10 per €1/MWh.</t>
  </si>
  <si>
    <t xml:space="preserve">€0.01 = US$0.10; band ±15%</t>
  </si>
  <si>
    <t xml:space="preserve">US$10 per €1/MWh</t>
  </si>
  <si>
    <t xml:space="preserve">FSV = settlement.</t>
  </si>
  <si>
    <t xml:space="preserve">ICE Endex. SarvaeX oracle: automated ingest from Source Agency + independent second-source check; Settlement Committee confirms and publishes notice; 30-min review window before final payout.</t>
  </si>
  <si>
    <t xml:space="preserve">ICE TTF.</t>
  </si>
  <si>
    <t xml:space="preserve">REG-EU-04</t>
  </si>
  <si>
    <t xml:space="preserve">SX-FRPRES27-LEPEN</t>
  </si>
  <si>
    <t xml:space="preserve">Elections – France 2027</t>
  </si>
  <si>
    <t xml:space="preserve">Marine Le Pen to win 2027?</t>
  </si>
  <si>
    <t xml:space="preserve">Will Marine Le Pen be declared winner of the 2027 French presidential election?</t>
  </si>
  <si>
    <t xml:space="preserve">The 2027 French presidential market is one of the few European political books with tight quotes (Le Pen YES 34.4–34.5¢, ~US$100k/24h on Polymarket).</t>
  </si>
  <si>
    <t xml:space="preserve">P:679018 (Le Pen win)</t>
  </si>
  <si>
    <t xml:space="preserve">On Constitutional Council proclamation</t>
  </si>
  <si>
    <t xml:space="preserve">Official proclamation of results</t>
  </si>
  <si>
    <t xml:space="preserve">Binary event contract (YES/NO). YES pays 1.00 USDC per contract if the Payout Criterion is met at Expiration, else 0. Price 0.01–0.99 USDC, tick 0.01; fully collateralised (max loss = premium). Categorical (one binary per candidate).</t>
  </si>
  <si>
    <t xml:space="preserve">YES = 1 if proclaimed winner.</t>
  </si>
  <si>
    <t xml:space="preserve">Winner as proclaimed by the Conseil constitutionnel; both rounds constitute one election. Ineligibility/withdrawal ⇒ NO.</t>
  </si>
  <si>
    <t xml:space="preserve">Source Agency: Conseil constitutionnel (fallback Ministère de l'Intérieur results). SarvaeX oracle: automated ingest from Source Agency + independent second-source check; Settlement Committee confirms and publishes notice; 30-min review window before final payout.</t>
  </si>
  <si>
    <t xml:space="preserve">Election postponed beyond 31 Dec 2027: NO.</t>
  </si>
  <si>
    <t xml:space="preserve">https://www.conseil-constitutionnel.fr/ ; https://polymarket.com/event/next-french-presidential-election</t>
  </si>
  <si>
    <t xml:space="preserve">Pairs with SXF-FRPRES27-RN (RN-candidate vote-share futures) – correlated, not exact.</t>
  </si>
  <si>
    <t xml:space="preserve">Polymarket lay-off after rule alignment.</t>
  </si>
  <si>
    <t xml:space="preserve">Election-market legality varies by EU state (French ANJ); geo-fence as advised.</t>
  </si>
  <si>
    <t xml:space="preserve">P3 – long-dated</t>
  </si>
  <si>
    <t xml:space="preserve">SXF-FRPRES27-RN</t>
  </si>
  <si>
    <t xml:space="preserve">RN 1st-round vote share (futures)</t>
  </si>
  <si>
    <t xml:space="preserve">Underlying: First-round vote share (%) of the Rassemblement National-endorsed candidate, 2027 French presidential election.</t>
  </si>
  <si>
    <t xml:space="preserve">First-round polls close</t>
  </si>
  <si>
    <t xml:space="preserve">Official first-round results</t>
  </si>
  <si>
    <t xml:space="preserve">(FSV − Entry) × US$10 per 1 pp.</t>
  </si>
  <si>
    <t xml:space="preserve">FSV = % of votes cast (suffrages exprimés) per official results; 0 if no RN-endorsed candidate.</t>
  </si>
  <si>
    <t xml:space="preserve">Conseil constitutionnel. SarvaeX oracle: automated ingest from Source Agency + independent second-source check; Settlement Committee confirms and publishes notice; 30-min review window before final payout.</t>
  </si>
  <si>
    <t xml:space="preserve">Proxy hedge for Le Pen binary.</t>
  </si>
  <si>
    <t xml:space="preserve">Most-discussed topics – Asia / EMEA (research as of 12 Sep 2026)</t>
  </si>
  <si>
    <t xml:space="preserve">Drives the Regional sheet. Facts paraphrased from the sources listed; verify before publishing on the website.</t>
  </si>
  <si>
    <t xml:space="preserve">Topic</t>
  </si>
  <si>
    <t xml:space="preserve">What is happening (dated facts)</t>
  </si>
  <si>
    <t xml:space="preserve">Why it can drive SarvaeX volume</t>
  </si>
  <si>
    <t xml:space="preserve">SarvaeX contracts</t>
  </si>
  <si>
    <t xml:space="preserve">Sources</t>
  </si>
  <si>
    <t xml:space="preserve">US–Iran war &amp; Strait of Hormuz shipping</t>
  </si>
  <si>
    <t xml:space="preserve">Conflict began 28 Feb 2026. The April ceasefire lapsed without a deal, talks stalled in August, and tit-for-tat strikes on tankers resumed in September. Aramco facilities were reportedly hit on 7 Sep. Polymarket hosts ~200 Iran markets with US$228m+ traded, and Kalshi lists weekly Hormuz transit-count markets.</t>
  </si>
  <si>
    <t xml:space="preserve">The #1 geopolitical story for Gulf and Asian users. It feeds oil, inflation, rates and FX. IMF PortWatch gives an objective, data-based oracle, which is better than subjective war markets.</t>
  </si>
  <si>
    <t xml:space="preserve">STD-GEO-01, STD-GEO-02, REG-ME-01, REG-ME-06</t>
  </si>
  <si>
    <t xml:space="preserve">https://polymarket.com/iran ; https://www.cnbc.com/2026/09/07/oil-prices-rise-to-6-week-high-after-iran-and-us-trade-blows-saudi-aramco-facilities-reportedly-hit.html ; https://decrypt.co/364914/prediction-markets-strait-of-hormuz-oil-traders</t>
  </si>
  <si>
    <t xml:space="preserve">Oil price shock &amp; OPEC+ policy</t>
  </si>
  <si>
    <t xml:space="preserve">Brent was ~US$106 on 11 Sep, up ~19% in a month, with a 52-week high of US$120.88 on 30 Apr. The EIA estimates Middle East shut-ins at 6.7 mb/d in August. OPEC+ completed its cut unwind with +188 kb/d for September and signalled a Q4 pause.</t>
  </si>
  <si>
    <t xml:space="preserve">Oil is the most-watched price in the GCC and the key input to Indian inflation and the rupee. Monthly OPEC+ meetings create recurring catalysts.</t>
  </si>
  <si>
    <t xml:space="preserve">STD-COM-01, STD-COM-02, REG-ME-01, REG-ME-03</t>
  </si>
  <si>
    <t xml:space="preserve">https://tradingeconomics.com/commodity/brent-crude-oil ; https://www.eia.gov/outlooks/steo/report/global_oil.php ; https://xbtfx.com/blog/oil-price-forecast-will-opec-september-output/</t>
  </si>
  <si>
    <t xml:space="preserve">All regions</t>
  </si>
  <si>
    <t xml:space="preserve">Global central-bank hiking cycle</t>
  </si>
  <si>
    <t xml:space="preserve">Fed: 3.50–3.75% after a 9-3 hold in July. Hike odds for 16 Sep were ~60–70% after Chair Warsh's Jackson Hole speech. ECB hiked to 2.50% on 10 Sep. BOJ is expected to hike to 1.25% on 18 Sep. RBI holds at 5.25%, next decision 7 Oct.</t>
  </si>
  <si>
    <t xml:space="preserve">Central-bank decision markets are the most liquid macro family globally (Polymarket Sep-Fed event: US$115m traded). Asian and European decisions give SarvaeX its own calendar.</t>
  </si>
  <si>
    <t xml:space="preserve">STD-ECO-01/02, REG-IND-01, REG-ME-02, REG-AS-01, REG-AS-04, REG-EU-01</t>
  </si>
  <si>
    <t xml:space="preserve">https://polymarket.com/event/fed-decision-in-september-762 ; https://commonslibrary.parliament.uk/research-briefings/sn02802/ ; https://www.indexbox.io/blog/boj-expected-to-hike-rates-in-september-says-pm-adviser/ ; https://www.5paisa.com/blog/rbi-mpc-meeting-schedule</t>
  </si>
  <si>
    <t xml:space="preserve">Indian inflation turning higher</t>
  </si>
  <si>
    <t xml:space="preserve">CPI (new base 2024=100) was 4.45% in July 2026, the highest since Dec 2024. Food inflation was 5.52%. CPI has risen for six straight months from a 3.21% low in February. RBI projects ~5.0% for FY27.</t>
  </si>
  <si>
    <t xml:space="preserve">A monthly, official, household-relevant number. It is the direct Indian analogue of Kalshi's CPI ladder.</t>
  </si>
  <si>
    <t xml:space="preserve">https://www.pib.gov.in/PressReleasePage.aspx?PRID=2298247 ; https://tradingeconomics.com/india/inflation-cpi</t>
  </si>
  <si>
    <t xml:space="preserve">Rupee near record lows</t>
  </si>
  <si>
    <t xml:space="preserve">USD/INR hit a record 96.84 on 20 May 2026 and was ~94.4–94.8 in early September (FBIL/RBI reference). Pressure comes from oil and FPI outflows.</t>
  </si>
  <si>
    <t xml:space="preserve">Relevant to NRI remittances from the Gulf, importers and exporters. FBIL publishes a daily official fix.</t>
  </si>
  <si>
    <t xml:space="preserve">https://www.ceicdata.com/en/india/foreign-exchange-rate-reserve-bank-of-india/foreign-exchange-rate-rbi-reference-rate-us-dollars</t>
  </si>
  <si>
    <t xml:space="preserve">Indian equities under pressure</t>
  </si>
  <si>
    <t xml:space="preserve">Nifty was ~23,350–23,400 on 10–11 Sep. Drivers are foreign outflows, the oil shock, rupee weakness and weak IT sentiment.</t>
  </si>
  <si>
    <t xml:space="preserve">India's most-watched market number, a natural daily/monthly-expiry habit product. Licence is the key gating item.</t>
  </si>
  <si>
    <t xml:space="preserve">https://news24online.com/business/sensex-today-share-market-live-updates-sensex-falls-362-points-nifty-at-23351-as-us-iran-tensions-escalate-power-grid-sun-pharma-among-biggest-laggards/922879/</t>
  </si>
  <si>
    <t xml:space="preserve">Weak monsoon / El Niño</t>
  </si>
  <si>
    <t xml:space="preserve">IMD cut its 2026 forecast to 90% of LPA (29 May). The seasonal deficit was ~13.8% after three months, which could make 2026 the weakest monsoon since 2009. IMD sees below-normal September rain.</t>
  </si>
  <si>
    <t xml:space="preserve">Drives food prices, rural demand and RBI policy. The season ends 30 Sep with a single official end-of-season number.</t>
  </si>
  <si>
    <t xml:space="preserve">https://www.freepressjournal.in/business/imd-forecasts-below-normal-rainfall-in-sep-as-el-nio-may-play-spoil-sport ; https://www.business-standard.com/india-news/imd-further-lowers-2026-monsoon-forecast-as-el-nino-set-to-develop-126052901376_1.html</t>
  </si>
  <si>
    <t xml:space="preserve">Gold after record highs</t>
  </si>
  <si>
    <t xml:space="preserve">Spot gold was ~US$4,360/oz on 11 Sep, after an all-time high of ~US$5,590 on 28 Jan 2026. Silver is at multi-year highs.</t>
  </si>
  <si>
    <t xml:space="preserve">Gold is culturally central in India and the Gulf. Festive buying peaks at Dhanteras/Diwali (early Nov), and DGCX in Dubai gives a hedge venue.</t>
  </si>
  <si>
    <t xml:space="preserve">REG-IND-09, STD-COM-03</t>
  </si>
  <si>
    <t xml:space="preserve">https://www.kitco.com/charts/gold ; https://www.usagold.com/daily-precious-metals-market-report-september-10-2026/</t>
  </si>
  <si>
    <t xml:space="preserve">India / South Asia / Gulf</t>
  </si>
  <si>
    <t xml:space="preserve">Cricket – India home season</t>
  </si>
  <si>
    <t xml:space="preserve">India v Afghanistan T20Is on 13 and 15 Sep in Delhi. West Indies tour from 27 Sep (3 ODIs, 5 T20Is to 17 Oct). Tests in New Zealand from 19 Nov. Sri Lanka white-ball series in December.</t>
  </si>
  <si>
    <t xml:space="preserve">Highest-engagement retail category in South Asia and the Gulf diaspora. Legal gating in India (Online Gaming Act 2025).</t>
  </si>
  <si>
    <t xml:space="preserve">https://www.bcci.tv/news/article/fixtures-unveiled-for-team-india-s-international-home-season-2026-27 ; https://www.espn.com/cricket/scores/team/6/india</t>
  </si>
  <si>
    <t xml:space="preserve">Asia</t>
  </si>
  <si>
    <t xml:space="preserve">Asian Games 2026 (Aichi-Nagoya)</t>
  </si>
  <si>
    <t xml:space="preserve">Held 19 Sep–4 Oct 2026 in Japan. India defends cricket golds and won a record 106 medals in 2022.</t>
  </si>
  <si>
    <t xml:space="preserve">Time-boxed, national-pride event. The medal count is a clean scalar underlying for a futures leg.</t>
  </si>
  <si>
    <t xml:space="preserve">https://www.olympics.com/en/news/indian-cricket-team-2026-calendar-schedule-dates</t>
  </si>
  <si>
    <t xml:space="preserve">Yen, JGBs and BOJ tightening</t>
  </si>
  <si>
    <t xml:space="preserve">The 10Y JGB yield hit 3% (first time since 1996) and the 2Y is at its highest since 1995. A joint US–Japan intervention followed yen weakness. USD/JPY was ~153.5 in September, and Nikkei fell ~2% in the first week of September.</t>
  </si>
  <si>
    <t xml:space="preserve">BOJ decisions, USD/JPY and Nikkei are the Asian macro trio. All three have official or licensed oracles.</t>
  </si>
  <si>
    <t xml:space="preserve">REG-AS-01, REG-AS-02, REG-AS-03</t>
  </si>
  <si>
    <t xml:space="preserve">https://finance.yahoo.com/economy/policy/articles/boj-debate-month-economy-price-002530441.html ; https://www.fxstreet.com/news/ecb-recap-a-hawkish-hike-despite-downside-growth-risks-202609101721</t>
  </si>
  <si>
    <t xml:space="preserve">GCC / Asia</t>
  </si>
  <si>
    <t xml:space="preserve">Weather: heat &amp; city temperatures</t>
  </si>
  <si>
    <t xml:space="preserve">Kalshi runs daily-high markets for 20 US cities, and Kalshi tightened its weather settlement rules on 3 Sep 2026. Polymarket Asian-city markets (Tokyo, Shanghai, Singapore) trade but books are often one-sided.</t>
  </si>
  <si>
    <t xml:space="preserve">A proven recurring format. A regional version with official met-agency oracles (NCM, JMA, IMD) fills a gap.</t>
  </si>
  <si>
    <t xml:space="preserve">REG-ME-04, REG-AS-05, STD-CLI-01</t>
  </si>
  <si>
    <t xml:space="preserve">https://help.kalshi.com/en/articles/13823837-weather-markets ; https://predictionnews.com/story/kalshi-lists-daily-high-temperature-market-for-new-york-city</t>
  </si>
  <si>
    <t xml:space="preserve">Europe / GCC</t>
  </si>
  <si>
    <t xml:space="preserve">European energy inflation &amp; ECB</t>
  </si>
  <si>
    <t xml:space="preserve">Euro-area HICP was 3.3% in August with energy up 14.3% y/y. The ECB hiked twice in 2026 (June, September), and markets price ~75% odds of an October hike. LNG through Hormuz links Gulf supply to European gas.</t>
  </si>
  <si>
    <t xml:space="preserve">An ECB/HICP/TTF trio gives European-session products that share hedgers with the Gulf energy book.</t>
  </si>
  <si>
    <t xml:space="preserve">REG-EU-01, REG-EU-02, REG-EU-03</t>
  </si>
  <si>
    <t xml:space="preserve">https://tiomarkets.com/article/ecb-rate-hike-september-2026 ; https://www.morningstar.com/economy/ecb-hikes-rates-raises-both-inflation-growth-forecasts</t>
  </si>
  <si>
    <t xml:space="preserve">Global / Asia</t>
  </si>
  <si>
    <t xml:space="preserve">Crypto drawdown &amp; regulated perps</t>
  </si>
  <si>
    <t xml:space="preserve">BTC was ~US$77k on 11 Sep, down from its US$126k Oct-2025 ATH, with a 2026 low of US$57.7k on 30 Jun. Kalshi launched CFTC-regulated BTC perpetuals on 3 Jun 2026 (BRTI-referenced).</t>
  </si>
  <si>
    <t xml:space="preserve">Crypto is the #2 category on Kalshi (US$157m/24h). The perps launch validates SarvaeX's binary+futures model. SarvaeX uses dated co-expiring futures rather than perps.</t>
  </si>
  <si>
    <t xml:space="preserve">STD-CRY-01..04, REG-AS-06</t>
  </si>
  <si>
    <t xml:space="preserve">https://defirate.com/prediction-markets/volume/ ; https://www.betting.net/reviews/kalshi/bitcoin/</t>
  </si>
  <si>
    <t xml:space="preserve">Europe / India / US</t>
  </si>
  <si>
    <t xml:space="preserve">Sweden votes 13 Sep and Berlin/Mecklenburg-Vorpommern on 20 Sep (too close to list). US midterms are 3 Nov 2026, with 500+ Kalshi/Polymarket markets. The France 2027 book is liquid. Indian state polls are expected in early 2027.</t>
  </si>
  <si>
    <t xml:space="preserve">Elections are the largest non-sports political volume. SarvaeX should list only after a legal review per jurisdiction.</t>
  </si>
  <si>
    <t xml:space="preserve">STD-ELE-01/02/03, REG-EU-04, REG-IND-10</t>
  </si>
  <si>
    <t xml:space="preserve">https://nextpredict.io/trending/midterm-election-results/ ; https://politpro.eu/en/sweden</t>
  </si>
  <si>
    <t xml:space="preserve">China policy easing debate</t>
  </si>
  <si>
    <t xml:space="preserve">PBoC has held the 1Y LPR at 3.0% and the 5Y at 3.5% since May 2025, while weak data keeps stimulus in focus.</t>
  </si>
  <si>
    <t xml:space="preserve">A low-volatility but recurring Asian policy catalyst. Second-wave product.</t>
  </si>
  <si>
    <t xml:space="preserve">https://tradingeconomics.com/china/stock-market/news/576678</t>
  </si>
  <si>
    <t xml:space="preserve">Delhi air-pollution season</t>
  </si>
  <si>
    <t xml:space="preserve">Every year from October to November, stubble burning, Diwali and winter inversions push Delhi AQI into the 'Very Poor' and 'Severe' bands. It is a top national story. (General background; no single 2026 source cited.)</t>
  </si>
  <si>
    <t xml:space="preserve">An official daily CPCB number with clear categories, well suited to retail binaries plus an AQI futures leg.</t>
  </si>
  <si>
    <t xml:space="preserve">Binary ↔ Futures hedge calculator (delta hedge of a binary ladder with the co-expiring futures)</t>
  </si>
  <si>
    <t xml:space="preserve">Blue = inputs (edit these). Black = formulas. Example: India CPI Sep-2026 pair (REG-IND-02). Normal model of the print around the futures price.</t>
  </si>
  <si>
    <t xml:space="preserve">INPUTS</t>
  </si>
  <si>
    <t xml:space="preserve">Value</t>
  </si>
  <si>
    <t xml:space="preserve">Paired contracts</t>
  </si>
  <si>
    <t xml:space="preserve">SX-INCPI-26SEP-T4.50 / SXF-INCPI-26SEP</t>
  </si>
  <si>
    <t xml:space="preserve">Futures price F (expected print, % YoY)</t>
  </si>
  <si>
    <t xml:space="preserve">Binary strike K (%)</t>
  </si>
  <si>
    <t xml:space="preserve">Std dev of print vs futures to expiry σ (pp)</t>
  </si>
  <si>
    <t xml:space="preserve">Binary position (contracts; + = long YES)</t>
  </si>
  <si>
    <t xml:space="preserve">Futures multiplier (US$ per 1.00 pp)</t>
  </si>
  <si>
    <t xml:space="preserve">Binary entry price (USDC)</t>
  </si>
  <si>
    <t xml:space="preserve">OUTPUTS</t>
  </si>
  <si>
    <t xml:space="preserve">z = (F − K) / σ</t>
  </si>
  <si>
    <t xml:space="preserve">Model fair value of binary YES (USDC) = N(z)</t>
  </si>
  <si>
    <t xml:space="preserve">Binary delta per contract (US$ per 1.00 pp) = φ(z)/σ</t>
  </si>
  <si>
    <t xml:space="preserve">Position delta (US$ per 1.00 pp)</t>
  </si>
  <si>
    <t xml:space="preserve">Futures hedge (contracts; negative = sell)</t>
  </si>
  <si>
    <t xml:space="preserve">Futures hedge – rounded</t>
  </si>
  <si>
    <t xml:space="preserve">Mark-to-model binary P&amp;L at inception (US$)</t>
  </si>
  <si>
    <t xml:space="preserve">SETTLEMENT SCENARIOS (both legs settle on the same MoSPI print)</t>
  </si>
  <si>
    <t xml:space="preserve">Scenario</t>
  </si>
  <si>
    <t xml:space="preserve">Print (%)</t>
  </si>
  <si>
    <t xml:space="preserve">Binary P&amp;L (US$)</t>
  </si>
  <si>
    <t xml:space="preserve">Futures P&amp;L (US$)</t>
  </si>
  <si>
    <t xml:space="preserve">Net P&amp;L (US$)</t>
  </si>
  <si>
    <t xml:space="preserve">Scenario 1</t>
  </si>
  <si>
    <t xml:space="preserve">Scenario 2</t>
  </si>
  <si>
    <t xml:space="preserve">Scenario 3</t>
  </si>
  <si>
    <t xml:space="preserve">Scenario 4</t>
  </si>
  <si>
    <t xml:space="preserve">Scenario 5</t>
  </si>
  <si>
    <t xml:space="preserve">Scenario 6</t>
  </si>
  <si>
    <t xml:space="preserve">Scenario 7</t>
  </si>
  <si>
    <t xml:space="preserve">Scenario 8</t>
  </si>
  <si>
    <t xml:space="preserve">Scenario 9</t>
  </si>
  <si>
    <t xml:space="preserve">Scenario 10</t>
  </si>
  <si>
    <t xml:space="preserve">Scenario 11</t>
  </si>
  <si>
    <t xml:space="preserve">Scenario 12</t>
  </si>
  <si>
    <t xml:space="preserve">Scenario 13</t>
  </si>
  <si>
    <t xml:space="preserve">Scenario 14</t>
  </si>
  <si>
    <t xml:space="preserve">Scenario 15</t>
  </si>
  <si>
    <t xml:space="preserve">Reading the table: the futures leg converts the binary's directional exposure into a residual 'digital gap' concentrated at the strike. Away from K the net P&amp;L is far smaller than the unhedged binary P&amp;L. This is why SarvaeX lists both legs with identical Source Agency and expiry (zero basis at settlement) and cross-margins them (see the earlier Margin System Framework v7.1 discussion). Delta must be re-hedged as F, σ and time change.</t>
  </si>
</sst>
</file>

<file path=xl/styles.xml><?xml version="1.0" encoding="utf-8"?>
<styleSheet xmlns="http://schemas.openxmlformats.org/spreadsheetml/2006/main">
  <numFmts count="8">
    <numFmt numFmtId="164" formatCode="General"/>
    <numFmt numFmtId="165" formatCode="General"/>
    <numFmt numFmtId="166" formatCode="#,##0"/>
    <numFmt numFmtId="167" formatCode="0.000"/>
    <numFmt numFmtId="168" formatCode="0.0"/>
    <numFmt numFmtId="169" formatCode="0.00"/>
    <numFmt numFmtId="170" formatCode="#,##0.0"/>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sz val="9"/>
      <color rgb="FF0000FF"/>
      <name val="Arial"/>
      <family val="0"/>
      <charset val="1"/>
    </font>
    <font>
      <b val="true"/>
      <sz val="10"/>
      <color rgb="FF1F3864"/>
      <name val="Arial"/>
      <family val="0"/>
      <charset val="1"/>
    </font>
    <font>
      <i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FFF00"/>
        <bgColor rgb="FFFFFF00"/>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left" vertical="bottom"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6" fontId="9" fillId="3" borderId="1" xfId="0" applyFont="true" applyBorder="true" applyAlignment="true" applyProtection="false">
      <alignment horizontal="right" vertical="top" textRotation="0" wrapText="true" indent="0" shrinkToFit="false"/>
      <protection locked="true" hidden="false"/>
    </xf>
    <xf numFmtId="167" fontId="9" fillId="3" borderId="1" xfId="0" applyFont="true" applyBorder="true" applyAlignment="true" applyProtection="false">
      <alignment horizontal="right" vertical="top" textRotation="0" wrapText="true" indent="0" shrinkToFit="false"/>
      <protection locked="true" hidden="false"/>
    </xf>
    <xf numFmtId="168" fontId="8" fillId="3" borderId="1" xfId="0" applyFont="true" applyBorder="true" applyAlignment="true" applyProtection="false">
      <alignment horizontal="righ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8" fontId="9" fillId="3"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right" vertical="top" textRotation="0" wrapText="true" indent="0" shrinkToFit="false"/>
      <protection locked="true" hidden="false"/>
    </xf>
    <xf numFmtId="169" fontId="9" fillId="5" borderId="1" xfId="0" applyFont="true" applyBorder="true" applyAlignment="true" applyProtection="false">
      <alignment horizontal="right" vertical="top" textRotation="0" wrapText="true" indent="0" shrinkToFit="false"/>
      <protection locked="true" hidden="false"/>
    </xf>
    <xf numFmtId="166" fontId="9" fillId="5" borderId="1" xfId="0" applyFont="true" applyBorder="true" applyAlignment="true" applyProtection="false">
      <alignment horizontal="right" vertical="top" textRotation="0" wrapText="true" indent="0" shrinkToFit="false"/>
      <protection locked="true" hidden="false"/>
    </xf>
    <xf numFmtId="167" fontId="8" fillId="0" borderId="1" xfId="0" applyFont="true" applyBorder="true" applyAlignment="true" applyProtection="false">
      <alignment horizontal="right" vertical="top" textRotation="0" wrapText="true" indent="0" shrinkToFit="false"/>
      <protection locked="true" hidden="false"/>
    </xf>
    <xf numFmtId="166" fontId="8" fillId="0" borderId="1" xfId="0" applyFont="true" applyBorder="true" applyAlignment="true" applyProtection="false">
      <alignment horizontal="right" vertical="top" textRotation="0" wrapText="true" indent="0" shrinkToFit="false"/>
      <protection locked="true" hidden="false"/>
    </xf>
    <xf numFmtId="170" fontId="8" fillId="0" borderId="1" xfId="0" applyFont="true" applyBorder="true" applyAlignment="true" applyProtection="false">
      <alignment horizontal="right" vertical="top" textRotation="0" wrapText="true" indent="0" shrinkToFit="false"/>
      <protection locked="true" hidden="false"/>
    </xf>
    <xf numFmtId="171" fontId="8" fillId="0" borderId="1" xfId="0" applyFont="true" applyBorder="true" applyAlignment="true" applyProtection="false">
      <alignment horizontal="righ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right"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B4" s="3" t="s">
        <v>2</v>
      </c>
      <c r="C4" s="3"/>
    </row>
    <row r="5" customFormat="false" ht="37.5" hidden="false" customHeight="true" outlineLevel="0" collapsed="false">
      <c r="B5" s="4" t="s">
        <v>3</v>
      </c>
      <c r="C5" s="5" t="s">
        <v>4</v>
      </c>
    </row>
    <row r="6" customFormat="false" ht="49.5" hidden="false" customHeight="true" outlineLevel="0" collapsed="false">
      <c r="B6" s="4" t="s">
        <v>5</v>
      </c>
      <c r="C6" s="5" t="s">
        <v>6</v>
      </c>
    </row>
    <row r="7" customFormat="false" ht="15" hidden="false" customHeight="true" outlineLevel="0" collapsed="false">
      <c r="B7" s="3" t="s">
        <v>7</v>
      </c>
      <c r="C7" s="3"/>
    </row>
    <row r="8" customFormat="false" ht="37.5" hidden="false" customHeight="true" outlineLevel="0" collapsed="false">
      <c r="B8" s="4" t="s">
        <v>8</v>
      </c>
      <c r="C8" s="5" t="s">
        <v>9</v>
      </c>
    </row>
    <row r="9" customFormat="false" ht="24.75" hidden="false" customHeight="true" outlineLevel="0" collapsed="false">
      <c r="B9" s="4" t="s">
        <v>10</v>
      </c>
      <c r="C9" s="5" t="s">
        <v>11</v>
      </c>
    </row>
    <row r="10" customFormat="false" ht="24.75" hidden="false" customHeight="true" outlineLevel="0" collapsed="false">
      <c r="B10" s="4" t="s">
        <v>12</v>
      </c>
      <c r="C10" s="5" t="s">
        <v>13</v>
      </c>
    </row>
    <row r="11" customFormat="false" ht="24.75" hidden="false" customHeight="true" outlineLevel="0" collapsed="false">
      <c r="B11" s="4" t="s">
        <v>14</v>
      </c>
      <c r="C11" s="5" t="s">
        <v>15</v>
      </c>
    </row>
    <row r="12" customFormat="false" ht="15" hidden="false" customHeight="true" outlineLevel="0" collapsed="false">
      <c r="B12" s="3" t="s">
        <v>16</v>
      </c>
      <c r="C12" s="3"/>
    </row>
    <row r="13" customFormat="false" ht="15" hidden="false" customHeight="true" outlineLevel="0" collapsed="false">
      <c r="B13" s="4" t="s">
        <v>17</v>
      </c>
      <c r="C13" s="6" t="n">
        <f aca="false">COUNTIF(1_Standard_Contracts!B5:B60,"Binary")</f>
        <v>28</v>
      </c>
    </row>
    <row r="14" customFormat="false" ht="15" hidden="false" customHeight="true" outlineLevel="0" collapsed="false">
      <c r="B14" s="4" t="s">
        <v>18</v>
      </c>
      <c r="C14" s="6" t="n">
        <f aca="false">COUNTIF(1_Standard_Contracts!B5:B60,"Futures")</f>
        <v>28</v>
      </c>
    </row>
    <row r="15" customFormat="false" ht="15" hidden="false" customHeight="true" outlineLevel="0" collapsed="false">
      <c r="B15" s="4" t="s">
        <v>19</v>
      </c>
      <c r="C15" s="6" t="n">
        <f aca="false">COUNTIF(1_Standard_Contracts!O5:O60,"PASS*")</f>
        <v>13</v>
      </c>
    </row>
    <row r="16" customFormat="false" ht="15" hidden="false" customHeight="true" outlineLevel="0" collapsed="false">
      <c r="B16" s="4" t="s">
        <v>20</v>
      </c>
      <c r="C16" s="6" t="n">
        <f aca="false">COUNTIF(2_Regional_Retail_Contracts!B5:B58,"Binary")</f>
        <v>27</v>
      </c>
    </row>
    <row r="17" customFormat="false" ht="15" hidden="false" customHeight="true" outlineLevel="0" collapsed="false">
      <c r="B17" s="4" t="s">
        <v>21</v>
      </c>
      <c r="C17" s="6" t="n">
        <f aca="false">COUNTIF(2_Regional_Retail_Contracts!B5:B58,"Futures")</f>
        <v>27</v>
      </c>
    </row>
    <row r="18" customFormat="false" ht="15" hidden="false" customHeight="true" outlineLevel="0" collapsed="false">
      <c r="B18" s="4" t="s">
        <v>22</v>
      </c>
      <c r="C18" s="6" t="n">
        <f aca="false">COUNTIFS(2_Regional_Retail_Contracts!B5:B58,"Binary",2_Regional_Retail_Contracts!X5:X58,"P1*")</f>
        <v>10</v>
      </c>
    </row>
    <row r="19" customFormat="false" ht="24.75" hidden="false" customHeight="true" outlineLevel="0" collapsed="false">
      <c r="B19" s="3" t="s">
        <v>23</v>
      </c>
      <c r="C19" s="3"/>
    </row>
    <row r="20" customFormat="false" ht="15" hidden="false" customHeight="true" outlineLevel="0" collapsed="false">
      <c r="B20" s="4" t="s">
        <v>24</v>
      </c>
      <c r="C20" s="5" t="s">
        <v>25</v>
      </c>
    </row>
    <row r="21" customFormat="false" ht="24.75" hidden="false" customHeight="true" outlineLevel="0" collapsed="false">
      <c r="B21" s="4" t="s">
        <v>26</v>
      </c>
      <c r="C21" s="5" t="s">
        <v>27</v>
      </c>
    </row>
    <row r="22" customFormat="false" ht="15" hidden="false" customHeight="true" outlineLevel="0" collapsed="false">
      <c r="B22" s="4" t="s">
        <v>28</v>
      </c>
      <c r="C22" s="5" t="s">
        <v>29</v>
      </c>
    </row>
    <row r="23" customFormat="false" ht="15" hidden="false" customHeight="true" outlineLevel="0" collapsed="false">
      <c r="B23" s="4" t="s">
        <v>30</v>
      </c>
      <c r="C23" s="5" t="s">
        <v>31</v>
      </c>
    </row>
    <row r="24" customFormat="false" ht="15" hidden="false" customHeight="true" outlineLevel="0" collapsed="false">
      <c r="B24" s="4" t="s">
        <v>32</v>
      </c>
      <c r="C24" s="5" t="s">
        <v>33</v>
      </c>
    </row>
    <row r="25" customFormat="false" ht="15" hidden="false" customHeight="true" outlineLevel="0" collapsed="false">
      <c r="B25" s="4" t="s">
        <v>34</v>
      </c>
      <c r="C25" s="5" t="s">
        <v>35</v>
      </c>
    </row>
    <row r="26" customFormat="false" ht="15" hidden="false" customHeight="true" outlineLevel="0" collapsed="false">
      <c r="B26" s="4" t="s">
        <v>36</v>
      </c>
      <c r="C26" s="5" t="s">
        <v>37</v>
      </c>
    </row>
    <row r="27" customFormat="false" ht="24.75" hidden="false" customHeight="true" outlineLevel="0" collapsed="false">
      <c r="B27" s="4" t="s">
        <v>38</v>
      </c>
      <c r="C27" s="5" t="s">
        <v>39</v>
      </c>
    </row>
    <row r="28" customFormat="false" ht="15" hidden="false" customHeight="true" outlineLevel="0" collapsed="false">
      <c r="B28" s="3" t="s">
        <v>40</v>
      </c>
      <c r="C28" s="3"/>
    </row>
    <row r="29" customFormat="false" ht="24.75" hidden="false" customHeight="true" outlineLevel="0" collapsed="false">
      <c r="B29" s="4" t="s">
        <v>41</v>
      </c>
      <c r="C29" s="5" t="s">
        <v>42</v>
      </c>
    </row>
    <row r="30" customFormat="false" ht="24.75" hidden="false" customHeight="true" outlineLevel="0" collapsed="false">
      <c r="B30" s="4" t="s">
        <v>43</v>
      </c>
      <c r="C30" s="5" t="s">
        <v>44</v>
      </c>
    </row>
    <row r="31" customFormat="false" ht="24.75" hidden="false" customHeight="true" outlineLevel="0" collapsed="false">
      <c r="B31" s="4" t="s">
        <v>45</v>
      </c>
      <c r="C31" s="5" t="s">
        <v>46</v>
      </c>
    </row>
    <row r="32" customFormat="false" ht="24.75" hidden="false" customHeight="true" outlineLevel="0" collapsed="false">
      <c r="B32" s="4" t="s">
        <v>47</v>
      </c>
      <c r="C32" s="5" t="s">
        <v>48</v>
      </c>
    </row>
    <row r="33" customFormat="false" ht="15" hidden="false" customHeight="true" outlineLevel="0" collapsed="false">
      <c r="B33" s="3" t="s">
        <v>49</v>
      </c>
      <c r="C33" s="3"/>
    </row>
    <row r="34" customFormat="false" ht="15" hidden="false" customHeight="true" outlineLevel="0" collapsed="false">
      <c r="B34" s="4" t="s">
        <v>50</v>
      </c>
      <c r="C34" s="7" t="s">
        <v>51</v>
      </c>
    </row>
    <row r="35" customFormat="false" ht="15" hidden="false" customHeight="true" outlineLevel="0" collapsed="false">
      <c r="B35" s="4" t="s">
        <v>52</v>
      </c>
      <c r="C35" s="8" t="s">
        <v>53</v>
      </c>
    </row>
    <row r="36" customFormat="false" ht="15" hidden="false" customHeight="true" outlineLevel="0" collapsed="false">
      <c r="B36" s="4" t="s">
        <v>54</v>
      </c>
      <c r="C36" s="9" t="s">
        <v>55</v>
      </c>
    </row>
    <row r="37" customFormat="false" ht="15" hidden="false" customHeight="true" outlineLevel="0" collapsed="false">
      <c r="B37" s="4" t="s">
        <v>56</v>
      </c>
      <c r="C37" s="5" t="s">
        <v>57</v>
      </c>
    </row>
    <row r="38" customFormat="false" ht="15" hidden="false" customHeight="true" outlineLevel="0" collapsed="false">
      <c r="B38" s="4" t="s">
        <v>58</v>
      </c>
      <c r="C38" s="10" t="s">
        <v>59</v>
      </c>
    </row>
    <row r="39" customFormat="false" ht="15" hidden="false" customHeight="true" outlineLevel="0" collapsed="false">
      <c r="B39" s="3" t="s">
        <v>60</v>
      </c>
      <c r="C39" s="3"/>
    </row>
    <row r="40" customFormat="false" ht="24.75" hidden="false" customHeight="true" outlineLevel="0" collapsed="false">
      <c r="B40" s="4" t="s">
        <v>61</v>
      </c>
      <c r="C40" s="5" t="s">
        <v>62</v>
      </c>
    </row>
    <row r="41" customFormat="false" ht="24.75" hidden="false" customHeight="true" outlineLevel="0" collapsed="false">
      <c r="B41" s="4" t="s">
        <v>63</v>
      </c>
      <c r="C41" s="5" t="s">
        <v>64</v>
      </c>
    </row>
    <row r="42" customFormat="false" ht="24.75" hidden="false" customHeight="true" outlineLevel="0" collapsed="false">
      <c r="B42" s="4" t="s">
        <v>65</v>
      </c>
      <c r="C42" s="5" t="s">
        <v>66</v>
      </c>
    </row>
    <row r="43" customFormat="false" ht="37.5" hidden="false" customHeight="true" outlineLevel="0" collapsed="false">
      <c r="B43" s="4" t="s">
        <v>67</v>
      </c>
      <c r="C43" s="5" t="s">
        <v>68</v>
      </c>
    </row>
    <row r="44" customFormat="false" ht="24.75" hidden="false" customHeight="true" outlineLevel="0" collapsed="false">
      <c r="B44" s="4" t="s">
        <v>69</v>
      </c>
      <c r="C44" s="5" t="s">
        <v>70</v>
      </c>
    </row>
    <row r="45" customFormat="false" ht="15" hidden="false" customHeight="true" outlineLevel="0" collapsed="false">
      <c r="B45" s="3" t="s">
        <v>71</v>
      </c>
      <c r="C45" s="3"/>
    </row>
    <row r="46" customFormat="false" ht="24.75" hidden="false" customHeight="true" outlineLevel="0" collapsed="false">
      <c r="B46" s="4" t="s">
        <v>72</v>
      </c>
      <c r="C46" s="5" t="s">
        <v>73</v>
      </c>
    </row>
    <row r="47" customFormat="false" ht="24.75" hidden="false" customHeight="true" outlineLevel="0" collapsed="false">
      <c r="B47" s="4" t="s">
        <v>74</v>
      </c>
      <c r="C47" s="5" t="s">
        <v>75</v>
      </c>
    </row>
    <row r="48" customFormat="false" ht="15" hidden="false" customHeight="true" outlineLevel="0" collapsed="false">
      <c r="B48" s="4" t="s">
        <v>76</v>
      </c>
      <c r="C48" s="5" t="s">
        <v>77</v>
      </c>
    </row>
    <row r="49" customFormat="false" ht="15" hidden="false" customHeight="true" outlineLevel="0" collapsed="false">
      <c r="B49" s="4" t="s">
        <v>78</v>
      </c>
      <c r="C49" s="5" t="s">
        <v>79</v>
      </c>
    </row>
  </sheetData>
  <mergeCells count="8">
    <mergeCell ref="B4:C4"/>
    <mergeCell ref="B7:C7"/>
    <mergeCell ref="B12:C12"/>
    <mergeCell ref="B19:C19"/>
    <mergeCell ref="B28:C28"/>
    <mergeCell ref="B33:C33"/>
    <mergeCell ref="B39:C39"/>
    <mergeCell ref="B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22"/>
    <col collapsed="false" customWidth="true" hidden="false" outlineLevel="0" max="4" min="4" style="0" width="12"/>
    <col collapsed="false" customWidth="true" hidden="false" outlineLevel="0" max="5" min="5" style="0" width="20"/>
    <col collapsed="false" customWidth="true" hidden="false" outlineLevel="0" max="6" min="6" style="0" width="46"/>
    <col collapsed="false" customWidth="true" hidden="false" outlineLevel="0" max="7" min="7" style="0" width="24"/>
    <col collapsed="false" customWidth="true" hidden="false" outlineLevel="0" max="8" min="8" style="0" width="26"/>
    <col collapsed="false" customWidth="true" hidden="false" outlineLevel="0" max="9" min="9" style="0" width="13"/>
    <col collapsed="false" customWidth="true" hidden="false" outlineLevel="0" max="10" min="10" style="0" width="15"/>
    <col collapsed="false" customWidth="true" hidden="false" outlineLevel="0" max="13" min="11" style="0" width="8"/>
    <col collapsed="false" customWidth="true" hidden="false" outlineLevel="0" max="14" min="14" style="0" width="10"/>
    <col collapsed="false" customWidth="true" hidden="false" outlineLevel="0" max="15" min="15" style="0" width="12"/>
    <col collapsed="false" customWidth="true" hidden="false" outlineLevel="0" max="16" min="16" style="0" width="24"/>
    <col collapsed="false" customWidth="true" hidden="false" outlineLevel="0" max="17" min="17" style="0" width="26"/>
    <col collapsed="false" customWidth="true" hidden="false" outlineLevel="0" max="18" min="18" style="0" width="40"/>
    <col collapsed="false" customWidth="true" hidden="false" outlineLevel="0" max="19" min="19" style="0" width="34"/>
    <col collapsed="false" customWidth="true" hidden="false" outlineLevel="0" max="21" min="20" style="0" width="20"/>
    <col collapsed="false" customWidth="true" hidden="false" outlineLevel="0" max="22" min="22" style="0" width="46"/>
    <col collapsed="false" customWidth="true" hidden="false" outlineLevel="0" max="23" min="23" style="0" width="44"/>
    <col collapsed="false" customWidth="true" hidden="false" outlineLevel="0" max="25" min="24" style="0" width="40"/>
    <col collapsed="false" customWidth="true" hidden="false" outlineLevel="0" max="27" min="26" style="0" width="36"/>
    <col collapsed="false" customWidth="true" hidden="false" outlineLevel="0" max="28" min="28" style="0" width="16"/>
  </cols>
  <sheetData>
    <row r="1" customFormat="false" ht="17.35" hidden="false" customHeight="false" outlineLevel="0" collapsed="false">
      <c r="A1" s="1" t="s">
        <v>80</v>
      </c>
    </row>
    <row r="2" customFormat="false" ht="15" hidden="false" customHeight="false" outlineLevel="0" collapsed="false">
      <c r="A2" s="2" t="s">
        <v>81</v>
      </c>
    </row>
    <row r="4" customFormat="false" ht="42" hidden="false" customHeight="true" outlineLevel="0" collapsed="false">
      <c r="A4" s="3" t="s">
        <v>82</v>
      </c>
      <c r="B4" s="3" t="s">
        <v>83</v>
      </c>
      <c r="C4" s="3" t="s">
        <v>84</v>
      </c>
      <c r="D4" s="3" t="s">
        <v>85</v>
      </c>
      <c r="E4" s="3" t="s">
        <v>86</v>
      </c>
      <c r="F4" s="3" t="s">
        <v>87</v>
      </c>
      <c r="G4" s="3" t="s">
        <v>88</v>
      </c>
      <c r="H4" s="3" t="s">
        <v>89</v>
      </c>
      <c r="I4" s="3" t="s">
        <v>90</v>
      </c>
      <c r="J4" s="3" t="s">
        <v>91</v>
      </c>
      <c r="K4" s="3" t="s">
        <v>92</v>
      </c>
      <c r="L4" s="3" t="s">
        <v>93</v>
      </c>
      <c r="M4" s="3" t="s">
        <v>94</v>
      </c>
      <c r="N4" s="3" t="s">
        <v>95</v>
      </c>
      <c r="O4" s="3" t="s">
        <v>63</v>
      </c>
      <c r="P4" s="3" t="s">
        <v>96</v>
      </c>
      <c r="Q4" s="3" t="s">
        <v>97</v>
      </c>
      <c r="R4" s="3" t="s">
        <v>98</v>
      </c>
      <c r="S4" s="3" t="s">
        <v>99</v>
      </c>
      <c r="T4" s="3" t="s">
        <v>100</v>
      </c>
      <c r="U4" s="3" t="s">
        <v>101</v>
      </c>
      <c r="V4" s="3" t="s">
        <v>102</v>
      </c>
      <c r="W4" s="3" t="s">
        <v>103</v>
      </c>
      <c r="X4" s="3" t="s">
        <v>104</v>
      </c>
      <c r="Y4" s="3" t="s">
        <v>105</v>
      </c>
      <c r="Z4" s="3" t="s">
        <v>106</v>
      </c>
      <c r="AA4" s="3" t="s">
        <v>107</v>
      </c>
      <c r="AB4" s="3" t="s">
        <v>108</v>
      </c>
    </row>
    <row r="5" customFormat="false" ht="75" hidden="false" customHeight="true" outlineLevel="0" collapsed="false">
      <c r="A5" s="11" t="s">
        <v>109</v>
      </c>
      <c r="B5" s="7" t="s">
        <v>110</v>
      </c>
      <c r="C5" s="11" t="s">
        <v>111</v>
      </c>
      <c r="D5" s="7" t="s">
        <v>112</v>
      </c>
      <c r="E5" s="7" t="s">
        <v>113</v>
      </c>
      <c r="F5" s="7" t="s">
        <v>114</v>
      </c>
      <c r="G5" s="7" t="s">
        <v>115</v>
      </c>
      <c r="H5" s="7" t="s">
        <v>116</v>
      </c>
      <c r="I5" s="12" t="n">
        <v>2259425.17</v>
      </c>
      <c r="J5" s="7" t="s">
        <v>117</v>
      </c>
      <c r="K5" s="13" t="n">
        <v>0.39</v>
      </c>
      <c r="L5" s="13" t="n">
        <v>0.4</v>
      </c>
      <c r="M5" s="14" t="n">
        <f aca="false">ROUND((L5-K5)*100,2)</f>
        <v>1</v>
      </c>
      <c r="N5" s="12" t="n">
        <v>5086</v>
      </c>
      <c r="O5" s="7" t="s">
        <v>118</v>
      </c>
      <c r="P5" s="7" t="s">
        <v>119</v>
      </c>
      <c r="Q5" s="7" t="s">
        <v>120</v>
      </c>
      <c r="R5" s="7" t="s">
        <v>121</v>
      </c>
      <c r="S5" s="7" t="s">
        <v>122</v>
      </c>
      <c r="T5" s="7" t="s">
        <v>123</v>
      </c>
      <c r="U5" s="7" t="s">
        <v>124</v>
      </c>
      <c r="V5" s="7" t="s">
        <v>125</v>
      </c>
      <c r="W5" s="7" t="s">
        <v>126</v>
      </c>
      <c r="X5" s="7" t="s">
        <v>127</v>
      </c>
      <c r="Y5" s="7" t="s">
        <v>128</v>
      </c>
      <c r="Z5" s="7" t="s">
        <v>129</v>
      </c>
      <c r="AA5" s="7" t="s">
        <v>130</v>
      </c>
      <c r="AB5" s="7" t="s">
        <v>131</v>
      </c>
    </row>
    <row r="6" customFormat="false" ht="75" hidden="false" customHeight="true" outlineLevel="0" collapsed="false">
      <c r="A6" s="15" t="s">
        <v>109</v>
      </c>
      <c r="B6" s="8" t="s">
        <v>132</v>
      </c>
      <c r="C6" s="15" t="s">
        <v>133</v>
      </c>
      <c r="D6" s="8" t="s">
        <v>112</v>
      </c>
      <c r="E6" s="8" t="s">
        <v>113</v>
      </c>
      <c r="F6" s="8" t="s">
        <v>134</v>
      </c>
      <c r="G6" s="8" t="s">
        <v>135</v>
      </c>
      <c r="H6" s="8" t="s">
        <v>135</v>
      </c>
      <c r="I6" s="8" t="s">
        <v>136</v>
      </c>
      <c r="J6" s="8" t="s">
        <v>136</v>
      </c>
      <c r="K6" s="8" t="s">
        <v>136</v>
      </c>
      <c r="L6" s="8" t="s">
        <v>136</v>
      </c>
      <c r="M6" s="16" t="s">
        <v>136</v>
      </c>
      <c r="N6" s="8" t="s">
        <v>136</v>
      </c>
      <c r="O6" s="8"/>
      <c r="P6" s="8" t="s">
        <v>137</v>
      </c>
      <c r="Q6" s="8" t="s">
        <v>138</v>
      </c>
      <c r="R6" s="8" t="s">
        <v>139</v>
      </c>
      <c r="S6" s="8" t="s">
        <v>140</v>
      </c>
      <c r="T6" s="8" t="s">
        <v>141</v>
      </c>
      <c r="U6" s="8" t="s">
        <v>142</v>
      </c>
      <c r="V6" s="8" t="s">
        <v>143</v>
      </c>
      <c r="W6" s="8" t="s">
        <v>144</v>
      </c>
      <c r="X6" s="8" t="s">
        <v>145</v>
      </c>
      <c r="Y6" s="8" t="s">
        <v>146</v>
      </c>
      <c r="Z6" s="8" t="s">
        <v>147</v>
      </c>
      <c r="AA6" s="8" t="s">
        <v>148</v>
      </c>
      <c r="AB6" s="8" t="s">
        <v>131</v>
      </c>
    </row>
    <row r="7" customFormat="false" ht="62.25" hidden="false" customHeight="true" outlineLevel="0" collapsed="false">
      <c r="A7" s="11" t="s">
        <v>149</v>
      </c>
      <c r="B7" s="7" t="s">
        <v>110</v>
      </c>
      <c r="C7" s="11" t="s">
        <v>150</v>
      </c>
      <c r="D7" s="7" t="s">
        <v>112</v>
      </c>
      <c r="E7" s="7" t="s">
        <v>151</v>
      </c>
      <c r="F7" s="7" t="s">
        <v>152</v>
      </c>
      <c r="G7" s="7" t="s">
        <v>153</v>
      </c>
      <c r="H7" s="7" t="s">
        <v>154</v>
      </c>
      <c r="I7" s="12" t="n">
        <v>44048.59</v>
      </c>
      <c r="J7" s="7" t="s">
        <v>155</v>
      </c>
      <c r="K7" s="13" t="n">
        <v>0.929</v>
      </c>
      <c r="L7" s="13" t="n">
        <v>0.93</v>
      </c>
      <c r="M7" s="14" t="n">
        <f aca="false">ROUND((L7-K7)*100,2)</f>
        <v>0.1</v>
      </c>
      <c r="N7" s="12" t="n">
        <v>104.96</v>
      </c>
      <c r="O7" s="7" t="s">
        <v>118</v>
      </c>
      <c r="P7" s="7" t="s">
        <v>156</v>
      </c>
      <c r="Q7" s="7" t="s">
        <v>157</v>
      </c>
      <c r="R7" s="7" t="s">
        <v>158</v>
      </c>
      <c r="S7" s="7" t="s">
        <v>159</v>
      </c>
      <c r="T7" s="7" t="s">
        <v>160</v>
      </c>
      <c r="U7" s="7" t="s">
        <v>161</v>
      </c>
      <c r="V7" s="7" t="s">
        <v>162</v>
      </c>
      <c r="W7" s="7" t="s">
        <v>163</v>
      </c>
      <c r="X7" s="7" t="s">
        <v>164</v>
      </c>
      <c r="Y7" s="7" t="s">
        <v>165</v>
      </c>
      <c r="Z7" s="7" t="s">
        <v>166</v>
      </c>
      <c r="AA7" s="7" t="s">
        <v>167</v>
      </c>
      <c r="AB7" s="7" t="s">
        <v>131</v>
      </c>
    </row>
    <row r="8" customFormat="false" ht="75" hidden="false" customHeight="true" outlineLevel="0" collapsed="false">
      <c r="A8" s="15" t="s">
        <v>149</v>
      </c>
      <c r="B8" s="8" t="s">
        <v>132</v>
      </c>
      <c r="C8" s="15" t="s">
        <v>168</v>
      </c>
      <c r="D8" s="8" t="s">
        <v>112</v>
      </c>
      <c r="E8" s="8" t="s">
        <v>151</v>
      </c>
      <c r="F8" s="8" t="s">
        <v>169</v>
      </c>
      <c r="G8" s="8" t="s">
        <v>135</v>
      </c>
      <c r="H8" s="8" t="s">
        <v>135</v>
      </c>
      <c r="I8" s="8" t="s">
        <v>136</v>
      </c>
      <c r="J8" s="8" t="s">
        <v>136</v>
      </c>
      <c r="K8" s="8" t="s">
        <v>136</v>
      </c>
      <c r="L8" s="8" t="s">
        <v>136</v>
      </c>
      <c r="M8" s="16" t="s">
        <v>136</v>
      </c>
      <c r="N8" s="8" t="s">
        <v>136</v>
      </c>
      <c r="O8" s="8"/>
      <c r="P8" s="8" t="s">
        <v>156</v>
      </c>
      <c r="Q8" s="8" t="s">
        <v>170</v>
      </c>
      <c r="R8" s="8" t="s">
        <v>139</v>
      </c>
      <c r="S8" s="8" t="s">
        <v>171</v>
      </c>
      <c r="T8" s="8" t="s">
        <v>172</v>
      </c>
      <c r="U8" s="8" t="s">
        <v>173</v>
      </c>
      <c r="V8" s="8" t="s">
        <v>174</v>
      </c>
      <c r="W8" s="8" t="s">
        <v>163</v>
      </c>
      <c r="X8" s="8" t="s">
        <v>175</v>
      </c>
      <c r="Y8" s="8" t="s">
        <v>176</v>
      </c>
      <c r="Z8" s="8" t="s">
        <v>177</v>
      </c>
      <c r="AA8" s="8" t="s">
        <v>178</v>
      </c>
      <c r="AB8" s="8" t="s">
        <v>131</v>
      </c>
    </row>
    <row r="9" customFormat="false" ht="87" hidden="false" customHeight="true" outlineLevel="0" collapsed="false">
      <c r="A9" s="11" t="s">
        <v>179</v>
      </c>
      <c r="B9" s="7" t="s">
        <v>110</v>
      </c>
      <c r="C9" s="11" t="s">
        <v>180</v>
      </c>
      <c r="D9" s="7" t="s">
        <v>112</v>
      </c>
      <c r="E9" s="7" t="s">
        <v>181</v>
      </c>
      <c r="F9" s="7" t="s">
        <v>182</v>
      </c>
      <c r="G9" s="7" t="s">
        <v>183</v>
      </c>
      <c r="H9" s="7" t="s">
        <v>184</v>
      </c>
      <c r="I9" s="12" t="n">
        <v>38454.44</v>
      </c>
      <c r="J9" s="7" t="s">
        <v>117</v>
      </c>
      <c r="K9" s="13" t="n">
        <v>0.18</v>
      </c>
      <c r="L9" s="13" t="n">
        <v>0.21</v>
      </c>
      <c r="M9" s="14" t="n">
        <f aca="false">ROUND((L9-K9)*100,2)</f>
        <v>3</v>
      </c>
      <c r="N9" s="12" t="n">
        <v>118</v>
      </c>
      <c r="O9" s="7" t="s">
        <v>118</v>
      </c>
      <c r="P9" s="7" t="s">
        <v>185</v>
      </c>
      <c r="Q9" s="7" t="s">
        <v>186</v>
      </c>
      <c r="R9" s="7" t="s">
        <v>187</v>
      </c>
      <c r="S9" s="7" t="s">
        <v>188</v>
      </c>
      <c r="T9" s="7" t="s">
        <v>160</v>
      </c>
      <c r="U9" s="7" t="s">
        <v>161</v>
      </c>
      <c r="V9" s="7" t="s">
        <v>189</v>
      </c>
      <c r="W9" s="7" t="s">
        <v>190</v>
      </c>
      <c r="X9" s="7" t="s">
        <v>191</v>
      </c>
      <c r="Y9" s="7" t="s">
        <v>192</v>
      </c>
      <c r="Z9" s="7" t="s">
        <v>193</v>
      </c>
      <c r="AA9" s="7" t="s">
        <v>194</v>
      </c>
      <c r="AB9" s="7" t="s">
        <v>131</v>
      </c>
    </row>
    <row r="10" customFormat="false" ht="87" hidden="false" customHeight="true" outlineLevel="0" collapsed="false">
      <c r="A10" s="15" t="s">
        <v>179</v>
      </c>
      <c r="B10" s="8" t="s">
        <v>132</v>
      </c>
      <c r="C10" s="15" t="s">
        <v>195</v>
      </c>
      <c r="D10" s="8" t="s">
        <v>112</v>
      </c>
      <c r="E10" s="8" t="s">
        <v>181</v>
      </c>
      <c r="F10" s="8" t="s">
        <v>196</v>
      </c>
      <c r="G10" s="8" t="s">
        <v>135</v>
      </c>
      <c r="H10" s="8" t="s">
        <v>135</v>
      </c>
      <c r="I10" s="8" t="s">
        <v>136</v>
      </c>
      <c r="J10" s="8" t="s">
        <v>136</v>
      </c>
      <c r="K10" s="8" t="s">
        <v>136</v>
      </c>
      <c r="L10" s="8" t="s">
        <v>136</v>
      </c>
      <c r="M10" s="16" t="s">
        <v>136</v>
      </c>
      <c r="N10" s="8" t="s">
        <v>136</v>
      </c>
      <c r="O10" s="8"/>
      <c r="P10" s="8" t="s">
        <v>197</v>
      </c>
      <c r="Q10" s="8" t="s">
        <v>198</v>
      </c>
      <c r="R10" s="8" t="s">
        <v>139</v>
      </c>
      <c r="S10" s="8" t="s">
        <v>199</v>
      </c>
      <c r="T10" s="8" t="s">
        <v>200</v>
      </c>
      <c r="U10" s="8" t="s">
        <v>173</v>
      </c>
      <c r="V10" s="8" t="s">
        <v>201</v>
      </c>
      <c r="W10" s="8" t="s">
        <v>202</v>
      </c>
      <c r="X10" s="8" t="s">
        <v>191</v>
      </c>
      <c r="Y10" s="8" t="s">
        <v>203</v>
      </c>
      <c r="Z10" s="8" t="s">
        <v>204</v>
      </c>
      <c r="AA10" s="8" t="s">
        <v>205</v>
      </c>
      <c r="AB10" s="8" t="s">
        <v>131</v>
      </c>
    </row>
    <row r="11" customFormat="false" ht="87" hidden="false" customHeight="true" outlineLevel="0" collapsed="false">
      <c r="A11" s="11" t="s">
        <v>206</v>
      </c>
      <c r="B11" s="7" t="s">
        <v>110</v>
      </c>
      <c r="C11" s="11" t="s">
        <v>207</v>
      </c>
      <c r="D11" s="7" t="s">
        <v>112</v>
      </c>
      <c r="E11" s="7" t="s">
        <v>208</v>
      </c>
      <c r="F11" s="7" t="s">
        <v>209</v>
      </c>
      <c r="G11" s="7" t="s">
        <v>210</v>
      </c>
      <c r="H11" s="7" t="s">
        <v>211</v>
      </c>
      <c r="I11" s="12" t="n">
        <v>25380.39</v>
      </c>
      <c r="J11" s="7" t="s">
        <v>117</v>
      </c>
      <c r="K11" s="7" t="s">
        <v>136</v>
      </c>
      <c r="L11" s="7" t="s">
        <v>136</v>
      </c>
      <c r="M11" s="17" t="n">
        <v>3</v>
      </c>
      <c r="N11" s="12" t="n">
        <v>71.99</v>
      </c>
      <c r="O11" s="7" t="s">
        <v>212</v>
      </c>
      <c r="P11" s="7" t="s">
        <v>213</v>
      </c>
      <c r="Q11" s="7" t="s">
        <v>214</v>
      </c>
      <c r="R11" s="7" t="s">
        <v>187</v>
      </c>
      <c r="S11" s="7" t="s">
        <v>215</v>
      </c>
      <c r="T11" s="7" t="s">
        <v>160</v>
      </c>
      <c r="U11" s="7" t="s">
        <v>216</v>
      </c>
      <c r="V11" s="7" t="s">
        <v>217</v>
      </c>
      <c r="W11" s="7" t="s">
        <v>202</v>
      </c>
      <c r="X11" s="7" t="s">
        <v>191</v>
      </c>
      <c r="Y11" s="7" t="s">
        <v>218</v>
      </c>
      <c r="Z11" s="7" t="s">
        <v>219</v>
      </c>
      <c r="AA11" s="7" t="s">
        <v>220</v>
      </c>
      <c r="AB11" s="7" t="s">
        <v>221</v>
      </c>
    </row>
    <row r="12" customFormat="false" ht="75" hidden="false" customHeight="true" outlineLevel="0" collapsed="false">
      <c r="A12" s="15" t="s">
        <v>206</v>
      </c>
      <c r="B12" s="8" t="s">
        <v>132</v>
      </c>
      <c r="C12" s="15" t="s">
        <v>222</v>
      </c>
      <c r="D12" s="8" t="s">
        <v>112</v>
      </c>
      <c r="E12" s="8" t="s">
        <v>208</v>
      </c>
      <c r="F12" s="8" t="s">
        <v>223</v>
      </c>
      <c r="G12" s="8" t="s">
        <v>135</v>
      </c>
      <c r="H12" s="8" t="s">
        <v>135</v>
      </c>
      <c r="I12" s="8" t="s">
        <v>136</v>
      </c>
      <c r="J12" s="8" t="s">
        <v>136</v>
      </c>
      <c r="K12" s="8" t="s">
        <v>136</v>
      </c>
      <c r="L12" s="8" t="s">
        <v>136</v>
      </c>
      <c r="M12" s="16" t="s">
        <v>136</v>
      </c>
      <c r="N12" s="8" t="s">
        <v>136</v>
      </c>
      <c r="O12" s="8"/>
      <c r="P12" s="8" t="s">
        <v>213</v>
      </c>
      <c r="Q12" s="8" t="s">
        <v>224</v>
      </c>
      <c r="R12" s="8" t="s">
        <v>139</v>
      </c>
      <c r="S12" s="8" t="s">
        <v>225</v>
      </c>
      <c r="T12" s="8" t="s">
        <v>226</v>
      </c>
      <c r="U12" s="8" t="s">
        <v>173</v>
      </c>
      <c r="V12" s="8" t="s">
        <v>227</v>
      </c>
      <c r="W12" s="8" t="s">
        <v>202</v>
      </c>
      <c r="X12" s="8" t="s">
        <v>175</v>
      </c>
      <c r="Y12" s="8" t="s">
        <v>203</v>
      </c>
      <c r="Z12" s="8" t="s">
        <v>228</v>
      </c>
      <c r="AA12" s="8" t="s">
        <v>229</v>
      </c>
      <c r="AB12" s="8" t="s">
        <v>221</v>
      </c>
    </row>
    <row r="13" customFormat="false" ht="62.25" hidden="false" customHeight="true" outlineLevel="0" collapsed="false">
      <c r="A13" s="11" t="s">
        <v>230</v>
      </c>
      <c r="B13" s="7" t="s">
        <v>110</v>
      </c>
      <c r="C13" s="11" t="s">
        <v>231</v>
      </c>
      <c r="D13" s="7" t="s">
        <v>112</v>
      </c>
      <c r="E13" s="7" t="s">
        <v>232</v>
      </c>
      <c r="F13" s="7" t="s">
        <v>233</v>
      </c>
      <c r="G13" s="7" t="s">
        <v>234</v>
      </c>
      <c r="H13" s="7" t="s">
        <v>235</v>
      </c>
      <c r="I13" s="12" t="n">
        <v>19881.9</v>
      </c>
      <c r="J13" s="7" t="s">
        <v>117</v>
      </c>
      <c r="K13" s="13" t="n">
        <v>0.98</v>
      </c>
      <c r="L13" s="13" t="n">
        <v>0.99</v>
      </c>
      <c r="M13" s="14" t="n">
        <f aca="false">ROUND((L13-K13)*100,2)</f>
        <v>1</v>
      </c>
      <c r="N13" s="12" t="n">
        <v>700.98</v>
      </c>
      <c r="O13" s="7" t="s">
        <v>236</v>
      </c>
      <c r="P13" s="7" t="s">
        <v>237</v>
      </c>
      <c r="Q13" s="7" t="s">
        <v>238</v>
      </c>
      <c r="R13" s="7" t="s">
        <v>239</v>
      </c>
      <c r="S13" s="7" t="s">
        <v>240</v>
      </c>
      <c r="T13" s="7" t="s">
        <v>160</v>
      </c>
      <c r="U13" s="7" t="s">
        <v>216</v>
      </c>
      <c r="V13" s="7" t="s">
        <v>241</v>
      </c>
      <c r="W13" s="7" t="s">
        <v>242</v>
      </c>
      <c r="X13" s="7" t="s">
        <v>243</v>
      </c>
      <c r="Y13" s="7" t="s">
        <v>244</v>
      </c>
      <c r="Z13" s="7" t="s">
        <v>245</v>
      </c>
      <c r="AA13" s="7" t="s">
        <v>246</v>
      </c>
      <c r="AB13" s="7" t="s">
        <v>221</v>
      </c>
    </row>
    <row r="14" customFormat="false" ht="75" hidden="false" customHeight="true" outlineLevel="0" collapsed="false">
      <c r="A14" s="15" t="s">
        <v>230</v>
      </c>
      <c r="B14" s="8" t="s">
        <v>132</v>
      </c>
      <c r="C14" s="15" t="s">
        <v>247</v>
      </c>
      <c r="D14" s="8" t="s">
        <v>112</v>
      </c>
      <c r="E14" s="8" t="s">
        <v>232</v>
      </c>
      <c r="F14" s="8" t="s">
        <v>248</v>
      </c>
      <c r="G14" s="8" t="s">
        <v>135</v>
      </c>
      <c r="H14" s="8" t="s">
        <v>135</v>
      </c>
      <c r="I14" s="8" t="s">
        <v>136</v>
      </c>
      <c r="J14" s="8" t="s">
        <v>136</v>
      </c>
      <c r="K14" s="8" t="s">
        <v>136</v>
      </c>
      <c r="L14" s="8" t="s">
        <v>136</v>
      </c>
      <c r="M14" s="16" t="s">
        <v>136</v>
      </c>
      <c r="N14" s="8" t="s">
        <v>136</v>
      </c>
      <c r="O14" s="8"/>
      <c r="P14" s="8" t="s">
        <v>249</v>
      </c>
      <c r="Q14" s="8" t="s">
        <v>250</v>
      </c>
      <c r="R14" s="8" t="s">
        <v>139</v>
      </c>
      <c r="S14" s="8" t="s">
        <v>251</v>
      </c>
      <c r="T14" s="8" t="s">
        <v>252</v>
      </c>
      <c r="U14" s="8" t="s">
        <v>253</v>
      </c>
      <c r="V14" s="8" t="s">
        <v>254</v>
      </c>
      <c r="W14" s="8" t="s">
        <v>255</v>
      </c>
      <c r="X14" s="8" t="s">
        <v>256</v>
      </c>
      <c r="Y14" s="8" t="s">
        <v>257</v>
      </c>
      <c r="Z14" s="8" t="s">
        <v>258</v>
      </c>
      <c r="AA14" s="8" t="s">
        <v>259</v>
      </c>
      <c r="AB14" s="8" t="s">
        <v>221</v>
      </c>
    </row>
    <row r="15" customFormat="false" ht="87" hidden="false" customHeight="true" outlineLevel="0" collapsed="false">
      <c r="A15" s="11" t="s">
        <v>260</v>
      </c>
      <c r="B15" s="7" t="s">
        <v>110</v>
      </c>
      <c r="C15" s="11" t="s">
        <v>261</v>
      </c>
      <c r="D15" s="7" t="s">
        <v>112</v>
      </c>
      <c r="E15" s="7" t="s">
        <v>262</v>
      </c>
      <c r="F15" s="7" t="s">
        <v>263</v>
      </c>
      <c r="G15" s="7" t="s">
        <v>264</v>
      </c>
      <c r="H15" s="7" t="s">
        <v>265</v>
      </c>
      <c r="I15" s="7" t="s">
        <v>136</v>
      </c>
      <c r="J15" s="7" t="s">
        <v>136</v>
      </c>
      <c r="K15" s="7" t="s">
        <v>136</v>
      </c>
      <c r="L15" s="7" t="s">
        <v>136</v>
      </c>
      <c r="M15" s="18" t="s">
        <v>266</v>
      </c>
      <c r="N15" s="7" t="s">
        <v>136</v>
      </c>
      <c r="O15" s="7" t="s">
        <v>267</v>
      </c>
      <c r="P15" s="7" t="s">
        <v>268</v>
      </c>
      <c r="Q15" s="7" t="s">
        <v>269</v>
      </c>
      <c r="R15" s="7" t="s">
        <v>239</v>
      </c>
      <c r="S15" s="7" t="s">
        <v>270</v>
      </c>
      <c r="T15" s="7" t="s">
        <v>160</v>
      </c>
      <c r="U15" s="7" t="s">
        <v>216</v>
      </c>
      <c r="V15" s="7" t="s">
        <v>271</v>
      </c>
      <c r="W15" s="7" t="s">
        <v>272</v>
      </c>
      <c r="X15" s="7" t="s">
        <v>191</v>
      </c>
      <c r="Y15" s="7" t="s">
        <v>273</v>
      </c>
      <c r="Z15" s="7" t="s">
        <v>274</v>
      </c>
      <c r="AA15" s="7" t="s">
        <v>275</v>
      </c>
      <c r="AB15" s="7" t="s">
        <v>276</v>
      </c>
    </row>
    <row r="16" customFormat="false" ht="75" hidden="false" customHeight="true" outlineLevel="0" collapsed="false">
      <c r="A16" s="15" t="s">
        <v>260</v>
      </c>
      <c r="B16" s="8" t="s">
        <v>132</v>
      </c>
      <c r="C16" s="15" t="s">
        <v>277</v>
      </c>
      <c r="D16" s="8" t="s">
        <v>112</v>
      </c>
      <c r="E16" s="8" t="s">
        <v>262</v>
      </c>
      <c r="F16" s="8" t="s">
        <v>278</v>
      </c>
      <c r="G16" s="8" t="s">
        <v>135</v>
      </c>
      <c r="H16" s="8" t="s">
        <v>135</v>
      </c>
      <c r="I16" s="8" t="s">
        <v>136</v>
      </c>
      <c r="J16" s="8" t="s">
        <v>136</v>
      </c>
      <c r="K16" s="8" t="s">
        <v>136</v>
      </c>
      <c r="L16" s="8" t="s">
        <v>136</v>
      </c>
      <c r="M16" s="16" t="s">
        <v>136</v>
      </c>
      <c r="N16" s="8" t="s">
        <v>136</v>
      </c>
      <c r="O16" s="8"/>
      <c r="P16" s="8" t="s">
        <v>268</v>
      </c>
      <c r="Q16" s="8" t="s">
        <v>279</v>
      </c>
      <c r="R16" s="8" t="s">
        <v>139</v>
      </c>
      <c r="S16" s="8" t="s">
        <v>280</v>
      </c>
      <c r="T16" s="8" t="s">
        <v>281</v>
      </c>
      <c r="U16" s="8" t="s">
        <v>282</v>
      </c>
      <c r="V16" s="8" t="s">
        <v>283</v>
      </c>
      <c r="W16" s="8" t="s">
        <v>202</v>
      </c>
      <c r="X16" s="8" t="s">
        <v>175</v>
      </c>
      <c r="Y16" s="8" t="s">
        <v>284</v>
      </c>
      <c r="Z16" s="8" t="s">
        <v>285</v>
      </c>
      <c r="AA16" s="8" t="s">
        <v>229</v>
      </c>
      <c r="AB16" s="8" t="s">
        <v>221</v>
      </c>
    </row>
    <row r="17" customFormat="false" ht="87" hidden="false" customHeight="true" outlineLevel="0" collapsed="false">
      <c r="A17" s="11" t="s">
        <v>286</v>
      </c>
      <c r="B17" s="7" t="s">
        <v>110</v>
      </c>
      <c r="C17" s="11" t="s">
        <v>287</v>
      </c>
      <c r="D17" s="7" t="s">
        <v>288</v>
      </c>
      <c r="E17" s="7" t="s">
        <v>289</v>
      </c>
      <c r="F17" s="7" t="s">
        <v>290</v>
      </c>
      <c r="G17" s="7" t="s">
        <v>291</v>
      </c>
      <c r="H17" s="7" t="s">
        <v>292</v>
      </c>
      <c r="I17" s="12" t="n">
        <v>19883</v>
      </c>
      <c r="J17" s="7" t="s">
        <v>117</v>
      </c>
      <c r="K17" s="7" t="s">
        <v>136</v>
      </c>
      <c r="L17" s="7" t="s">
        <v>136</v>
      </c>
      <c r="M17" s="17" t="n">
        <v>3</v>
      </c>
      <c r="N17" s="12" t="n">
        <v>30</v>
      </c>
      <c r="O17" s="7" t="s">
        <v>293</v>
      </c>
      <c r="P17" s="7" t="s">
        <v>294</v>
      </c>
      <c r="Q17" s="7" t="s">
        <v>295</v>
      </c>
      <c r="R17" s="7" t="s">
        <v>296</v>
      </c>
      <c r="S17" s="7" t="s">
        <v>297</v>
      </c>
      <c r="T17" s="7" t="s">
        <v>160</v>
      </c>
      <c r="U17" s="7" t="s">
        <v>216</v>
      </c>
      <c r="V17" s="7" t="s">
        <v>298</v>
      </c>
      <c r="W17" s="7" t="s">
        <v>299</v>
      </c>
      <c r="X17" s="7" t="s">
        <v>300</v>
      </c>
      <c r="Y17" s="7" t="s">
        <v>301</v>
      </c>
      <c r="Z17" s="7" t="s">
        <v>302</v>
      </c>
      <c r="AA17" s="7" t="s">
        <v>303</v>
      </c>
      <c r="AB17" s="7" t="s">
        <v>304</v>
      </c>
    </row>
    <row r="18" customFormat="false" ht="75" hidden="false" customHeight="true" outlineLevel="0" collapsed="false">
      <c r="A18" s="15" t="s">
        <v>286</v>
      </c>
      <c r="B18" s="8" t="s">
        <v>132</v>
      </c>
      <c r="C18" s="15" t="s">
        <v>305</v>
      </c>
      <c r="D18" s="8" t="s">
        <v>288</v>
      </c>
      <c r="E18" s="8" t="s">
        <v>289</v>
      </c>
      <c r="F18" s="8" t="s">
        <v>306</v>
      </c>
      <c r="G18" s="8" t="s">
        <v>135</v>
      </c>
      <c r="H18" s="8" t="s">
        <v>135</v>
      </c>
      <c r="I18" s="8" t="s">
        <v>136</v>
      </c>
      <c r="J18" s="8" t="s">
        <v>136</v>
      </c>
      <c r="K18" s="8" t="s">
        <v>136</v>
      </c>
      <c r="L18" s="8" t="s">
        <v>136</v>
      </c>
      <c r="M18" s="16" t="s">
        <v>136</v>
      </c>
      <c r="N18" s="8" t="s">
        <v>136</v>
      </c>
      <c r="O18" s="8"/>
      <c r="P18" s="8" t="s">
        <v>307</v>
      </c>
      <c r="Q18" s="8" t="s">
        <v>308</v>
      </c>
      <c r="R18" s="8" t="s">
        <v>139</v>
      </c>
      <c r="S18" s="8" t="s">
        <v>309</v>
      </c>
      <c r="T18" s="8" t="s">
        <v>310</v>
      </c>
      <c r="U18" s="8" t="s">
        <v>311</v>
      </c>
      <c r="V18" s="8" t="s">
        <v>312</v>
      </c>
      <c r="W18" s="8" t="s">
        <v>313</v>
      </c>
      <c r="X18" s="8" t="s">
        <v>256</v>
      </c>
      <c r="Y18" s="8" t="s">
        <v>314</v>
      </c>
      <c r="Z18" s="8" t="s">
        <v>315</v>
      </c>
      <c r="AA18" s="8" t="s">
        <v>316</v>
      </c>
      <c r="AB18" s="8" t="s">
        <v>317</v>
      </c>
    </row>
    <row r="19" customFormat="false" ht="62.25" hidden="false" customHeight="true" outlineLevel="0" collapsed="false">
      <c r="A19" s="11" t="s">
        <v>318</v>
      </c>
      <c r="B19" s="7" t="s">
        <v>110</v>
      </c>
      <c r="C19" s="11" t="s">
        <v>319</v>
      </c>
      <c r="D19" s="7" t="s">
        <v>288</v>
      </c>
      <c r="E19" s="7" t="s">
        <v>320</v>
      </c>
      <c r="F19" s="7" t="s">
        <v>321</v>
      </c>
      <c r="G19" s="7" t="s">
        <v>322</v>
      </c>
      <c r="H19" s="7" t="s">
        <v>323</v>
      </c>
      <c r="I19" s="12" t="n">
        <v>20163.27</v>
      </c>
      <c r="J19" s="7" t="s">
        <v>117</v>
      </c>
      <c r="K19" s="13" t="n">
        <v>0.58</v>
      </c>
      <c r="L19" s="13" t="n">
        <v>0.6</v>
      </c>
      <c r="M19" s="14" t="n">
        <f aca="false">ROUND((L19-K19)*100,2)</f>
        <v>2</v>
      </c>
      <c r="N19" s="12" t="n">
        <v>1000</v>
      </c>
      <c r="O19" s="7" t="s">
        <v>118</v>
      </c>
      <c r="P19" s="7" t="s">
        <v>307</v>
      </c>
      <c r="Q19" s="7" t="s">
        <v>324</v>
      </c>
      <c r="R19" s="7" t="s">
        <v>239</v>
      </c>
      <c r="S19" s="7" t="s">
        <v>325</v>
      </c>
      <c r="T19" s="7" t="s">
        <v>160</v>
      </c>
      <c r="U19" s="7" t="s">
        <v>216</v>
      </c>
      <c r="V19" s="7" t="s">
        <v>326</v>
      </c>
      <c r="W19" s="7" t="s">
        <v>327</v>
      </c>
      <c r="X19" s="7" t="s">
        <v>328</v>
      </c>
      <c r="Y19" s="7" t="s">
        <v>329</v>
      </c>
      <c r="Z19" s="7" t="s">
        <v>330</v>
      </c>
      <c r="AA19" s="7" t="s">
        <v>331</v>
      </c>
      <c r="AB19" s="7" t="s">
        <v>317</v>
      </c>
    </row>
    <row r="20" customFormat="false" ht="75" hidden="false" customHeight="true" outlineLevel="0" collapsed="false">
      <c r="A20" s="15" t="s">
        <v>318</v>
      </c>
      <c r="B20" s="8" t="s">
        <v>132</v>
      </c>
      <c r="C20" s="15" t="s">
        <v>332</v>
      </c>
      <c r="D20" s="8" t="s">
        <v>288</v>
      </c>
      <c r="E20" s="8" t="s">
        <v>320</v>
      </c>
      <c r="F20" s="8" t="s">
        <v>333</v>
      </c>
      <c r="G20" s="8" t="s">
        <v>135</v>
      </c>
      <c r="H20" s="8" t="s">
        <v>135</v>
      </c>
      <c r="I20" s="8" t="s">
        <v>136</v>
      </c>
      <c r="J20" s="8" t="s">
        <v>136</v>
      </c>
      <c r="K20" s="8" t="s">
        <v>136</v>
      </c>
      <c r="L20" s="8" t="s">
        <v>136</v>
      </c>
      <c r="M20" s="16" t="s">
        <v>136</v>
      </c>
      <c r="N20" s="8" t="s">
        <v>136</v>
      </c>
      <c r="O20" s="8"/>
      <c r="P20" s="8" t="s">
        <v>307</v>
      </c>
      <c r="Q20" s="8" t="s">
        <v>334</v>
      </c>
      <c r="R20" s="8" t="s">
        <v>139</v>
      </c>
      <c r="S20" s="8" t="s">
        <v>335</v>
      </c>
      <c r="T20" s="8" t="s">
        <v>336</v>
      </c>
      <c r="U20" s="8" t="s">
        <v>337</v>
      </c>
      <c r="V20" s="8" t="s">
        <v>338</v>
      </c>
      <c r="W20" s="8" t="s">
        <v>339</v>
      </c>
      <c r="X20" s="8" t="s">
        <v>256</v>
      </c>
      <c r="Y20" s="8" t="s">
        <v>340</v>
      </c>
      <c r="Z20" s="8" t="s">
        <v>341</v>
      </c>
      <c r="AA20" s="8" t="s">
        <v>342</v>
      </c>
      <c r="AB20" s="8" t="s">
        <v>317</v>
      </c>
    </row>
    <row r="21" customFormat="false" ht="62.25" hidden="false" customHeight="true" outlineLevel="0" collapsed="false">
      <c r="A21" s="11" t="s">
        <v>343</v>
      </c>
      <c r="B21" s="7" t="s">
        <v>110</v>
      </c>
      <c r="C21" s="11" t="s">
        <v>344</v>
      </c>
      <c r="D21" s="7" t="s">
        <v>288</v>
      </c>
      <c r="E21" s="7" t="s">
        <v>345</v>
      </c>
      <c r="F21" s="7" t="s">
        <v>346</v>
      </c>
      <c r="G21" s="7" t="s">
        <v>347</v>
      </c>
      <c r="H21" s="7" t="s">
        <v>348</v>
      </c>
      <c r="I21" s="12" t="n">
        <v>16866.78</v>
      </c>
      <c r="J21" s="7" t="s">
        <v>117</v>
      </c>
      <c r="K21" s="13" t="n">
        <v>0.02</v>
      </c>
      <c r="L21" s="13" t="n">
        <v>0.03</v>
      </c>
      <c r="M21" s="14" t="n">
        <f aca="false">ROUND((L21-K21)*100,2)</f>
        <v>1</v>
      </c>
      <c r="N21" s="12" t="n">
        <v>1052</v>
      </c>
      <c r="O21" s="7" t="s">
        <v>349</v>
      </c>
      <c r="P21" s="7" t="s">
        <v>350</v>
      </c>
      <c r="Q21" s="7" t="s">
        <v>351</v>
      </c>
      <c r="R21" s="7" t="s">
        <v>352</v>
      </c>
      <c r="S21" s="7" t="s">
        <v>353</v>
      </c>
      <c r="T21" s="7" t="s">
        <v>160</v>
      </c>
      <c r="U21" s="7" t="s">
        <v>216</v>
      </c>
      <c r="V21" s="7" t="s">
        <v>354</v>
      </c>
      <c r="W21" s="7" t="s">
        <v>313</v>
      </c>
      <c r="X21" s="7" t="s">
        <v>355</v>
      </c>
      <c r="Y21" s="7" t="s">
        <v>356</v>
      </c>
      <c r="Z21" s="7" t="s">
        <v>357</v>
      </c>
      <c r="AA21" s="7" t="s">
        <v>358</v>
      </c>
      <c r="AB21" s="7" t="s">
        <v>221</v>
      </c>
    </row>
    <row r="22" customFormat="false" ht="75" hidden="false" customHeight="true" outlineLevel="0" collapsed="false">
      <c r="A22" s="15" t="s">
        <v>343</v>
      </c>
      <c r="B22" s="8" t="s">
        <v>132</v>
      </c>
      <c r="C22" s="15" t="s">
        <v>359</v>
      </c>
      <c r="D22" s="8" t="s">
        <v>288</v>
      </c>
      <c r="E22" s="8" t="s">
        <v>345</v>
      </c>
      <c r="F22" s="8" t="s">
        <v>360</v>
      </c>
      <c r="G22" s="8" t="s">
        <v>135</v>
      </c>
      <c r="H22" s="8" t="s">
        <v>135</v>
      </c>
      <c r="I22" s="8" t="s">
        <v>136</v>
      </c>
      <c r="J22" s="8" t="s">
        <v>136</v>
      </c>
      <c r="K22" s="8" t="s">
        <v>136</v>
      </c>
      <c r="L22" s="8" t="s">
        <v>136</v>
      </c>
      <c r="M22" s="16" t="s">
        <v>136</v>
      </c>
      <c r="N22" s="8" t="s">
        <v>136</v>
      </c>
      <c r="O22" s="8"/>
      <c r="P22" s="8" t="s">
        <v>361</v>
      </c>
      <c r="Q22" s="8" t="s">
        <v>362</v>
      </c>
      <c r="R22" s="8" t="s">
        <v>139</v>
      </c>
      <c r="S22" s="8" t="s">
        <v>363</v>
      </c>
      <c r="T22" s="8" t="s">
        <v>364</v>
      </c>
      <c r="U22" s="8" t="s">
        <v>365</v>
      </c>
      <c r="V22" s="8" t="s">
        <v>366</v>
      </c>
      <c r="W22" s="8" t="s">
        <v>367</v>
      </c>
      <c r="X22" s="8" t="s">
        <v>256</v>
      </c>
      <c r="Y22" s="8" t="s">
        <v>136</v>
      </c>
      <c r="Z22" s="8" t="s">
        <v>341</v>
      </c>
      <c r="AA22" s="8" t="s">
        <v>368</v>
      </c>
      <c r="AB22" s="8" t="s">
        <v>221</v>
      </c>
    </row>
    <row r="23" customFormat="false" ht="75" hidden="false" customHeight="true" outlineLevel="0" collapsed="false">
      <c r="A23" s="11" t="s">
        <v>369</v>
      </c>
      <c r="B23" s="7" t="s">
        <v>110</v>
      </c>
      <c r="C23" s="11" t="s">
        <v>370</v>
      </c>
      <c r="D23" s="7" t="s">
        <v>288</v>
      </c>
      <c r="E23" s="7" t="s">
        <v>371</v>
      </c>
      <c r="F23" s="7" t="s">
        <v>372</v>
      </c>
      <c r="G23" s="7" t="s">
        <v>373</v>
      </c>
      <c r="H23" s="7" t="s">
        <v>374</v>
      </c>
      <c r="I23" s="7" t="s">
        <v>136</v>
      </c>
      <c r="J23" s="7" t="s">
        <v>375</v>
      </c>
      <c r="K23" s="7" t="s">
        <v>136</v>
      </c>
      <c r="L23" s="7" t="s">
        <v>136</v>
      </c>
      <c r="M23" s="18" t="s">
        <v>266</v>
      </c>
      <c r="N23" s="7" t="s">
        <v>136</v>
      </c>
      <c r="O23" s="7" t="s">
        <v>376</v>
      </c>
      <c r="P23" s="7" t="s">
        <v>377</v>
      </c>
      <c r="Q23" s="7" t="s">
        <v>378</v>
      </c>
      <c r="R23" s="7" t="s">
        <v>239</v>
      </c>
      <c r="S23" s="7" t="s">
        <v>379</v>
      </c>
      <c r="T23" s="7" t="s">
        <v>160</v>
      </c>
      <c r="U23" s="7" t="s">
        <v>216</v>
      </c>
      <c r="V23" s="7" t="s">
        <v>380</v>
      </c>
      <c r="W23" s="7" t="s">
        <v>381</v>
      </c>
      <c r="X23" s="7" t="s">
        <v>382</v>
      </c>
      <c r="Y23" s="7" t="s">
        <v>383</v>
      </c>
      <c r="Z23" s="7" t="s">
        <v>384</v>
      </c>
      <c r="AA23" s="7" t="s">
        <v>385</v>
      </c>
      <c r="AB23" s="7" t="s">
        <v>221</v>
      </c>
    </row>
    <row r="24" customFormat="false" ht="75" hidden="false" customHeight="true" outlineLevel="0" collapsed="false">
      <c r="A24" s="15" t="s">
        <v>369</v>
      </c>
      <c r="B24" s="8" t="s">
        <v>132</v>
      </c>
      <c r="C24" s="15" t="s">
        <v>386</v>
      </c>
      <c r="D24" s="8" t="s">
        <v>288</v>
      </c>
      <c r="E24" s="8" t="s">
        <v>371</v>
      </c>
      <c r="F24" s="8" t="s">
        <v>387</v>
      </c>
      <c r="G24" s="8" t="s">
        <v>135</v>
      </c>
      <c r="H24" s="8" t="s">
        <v>135</v>
      </c>
      <c r="I24" s="8" t="s">
        <v>136</v>
      </c>
      <c r="J24" s="8" t="s">
        <v>136</v>
      </c>
      <c r="K24" s="8" t="s">
        <v>136</v>
      </c>
      <c r="L24" s="8" t="s">
        <v>136</v>
      </c>
      <c r="M24" s="16" t="s">
        <v>136</v>
      </c>
      <c r="N24" s="8" t="s">
        <v>136</v>
      </c>
      <c r="O24" s="8"/>
      <c r="P24" s="8" t="s">
        <v>388</v>
      </c>
      <c r="Q24" s="8" t="s">
        <v>389</v>
      </c>
      <c r="R24" s="8" t="s">
        <v>139</v>
      </c>
      <c r="S24" s="8" t="s">
        <v>225</v>
      </c>
      <c r="T24" s="8" t="s">
        <v>390</v>
      </c>
      <c r="U24" s="8" t="s">
        <v>391</v>
      </c>
      <c r="V24" s="8" t="s">
        <v>392</v>
      </c>
      <c r="W24" s="8" t="s">
        <v>393</v>
      </c>
      <c r="X24" s="8" t="s">
        <v>256</v>
      </c>
      <c r="Y24" s="8" t="s">
        <v>136</v>
      </c>
      <c r="Z24" s="8" t="s">
        <v>341</v>
      </c>
      <c r="AA24" s="8" t="s">
        <v>394</v>
      </c>
      <c r="AB24" s="8" t="s">
        <v>221</v>
      </c>
    </row>
    <row r="25" customFormat="false" ht="62.25" hidden="false" customHeight="true" outlineLevel="0" collapsed="false">
      <c r="A25" s="11" t="s">
        <v>395</v>
      </c>
      <c r="B25" s="7" t="s">
        <v>110</v>
      </c>
      <c r="C25" s="11" t="s">
        <v>396</v>
      </c>
      <c r="D25" s="7" t="s">
        <v>288</v>
      </c>
      <c r="E25" s="7" t="s">
        <v>397</v>
      </c>
      <c r="F25" s="7" t="s">
        <v>398</v>
      </c>
      <c r="G25" s="7" t="s">
        <v>399</v>
      </c>
      <c r="H25" s="7" t="s">
        <v>400</v>
      </c>
      <c r="I25" s="12" t="n">
        <v>8426.89</v>
      </c>
      <c r="J25" s="7" t="s">
        <v>117</v>
      </c>
      <c r="K25" s="13" t="n">
        <v>0.01</v>
      </c>
      <c r="L25" s="13" t="n">
        <v>0.02</v>
      </c>
      <c r="M25" s="14" t="n">
        <f aca="false">ROUND((L25-K25)*100,2)</f>
        <v>1</v>
      </c>
      <c r="N25" s="12" t="n">
        <v>1030</v>
      </c>
      <c r="O25" s="7" t="s">
        <v>401</v>
      </c>
      <c r="P25" s="7" t="s">
        <v>402</v>
      </c>
      <c r="Q25" s="7" t="s">
        <v>403</v>
      </c>
      <c r="R25" s="7" t="s">
        <v>239</v>
      </c>
      <c r="S25" s="7" t="s">
        <v>404</v>
      </c>
      <c r="T25" s="7" t="s">
        <v>160</v>
      </c>
      <c r="U25" s="7" t="s">
        <v>216</v>
      </c>
      <c r="V25" s="7" t="s">
        <v>405</v>
      </c>
      <c r="W25" s="7" t="s">
        <v>406</v>
      </c>
      <c r="X25" s="7" t="s">
        <v>407</v>
      </c>
      <c r="Y25" s="7" t="s">
        <v>408</v>
      </c>
      <c r="Z25" s="7" t="s">
        <v>409</v>
      </c>
      <c r="AA25" s="7" t="s">
        <v>410</v>
      </c>
      <c r="AB25" s="7" t="s">
        <v>221</v>
      </c>
    </row>
    <row r="26" customFormat="false" ht="75" hidden="false" customHeight="true" outlineLevel="0" collapsed="false">
      <c r="A26" s="15" t="s">
        <v>395</v>
      </c>
      <c r="B26" s="8" t="s">
        <v>132</v>
      </c>
      <c r="C26" s="15" t="s">
        <v>411</v>
      </c>
      <c r="D26" s="8" t="s">
        <v>288</v>
      </c>
      <c r="E26" s="8" t="s">
        <v>397</v>
      </c>
      <c r="F26" s="8" t="s">
        <v>412</v>
      </c>
      <c r="G26" s="8" t="s">
        <v>135</v>
      </c>
      <c r="H26" s="8" t="s">
        <v>135</v>
      </c>
      <c r="I26" s="8" t="s">
        <v>136</v>
      </c>
      <c r="J26" s="8" t="s">
        <v>136</v>
      </c>
      <c r="K26" s="8" t="s">
        <v>136</v>
      </c>
      <c r="L26" s="8" t="s">
        <v>136</v>
      </c>
      <c r="M26" s="16" t="s">
        <v>136</v>
      </c>
      <c r="N26" s="8" t="s">
        <v>136</v>
      </c>
      <c r="O26" s="8"/>
      <c r="P26" s="8" t="s">
        <v>402</v>
      </c>
      <c r="Q26" s="8" t="s">
        <v>413</v>
      </c>
      <c r="R26" s="8" t="s">
        <v>139</v>
      </c>
      <c r="S26" s="8" t="s">
        <v>414</v>
      </c>
      <c r="T26" s="8" t="s">
        <v>415</v>
      </c>
      <c r="U26" s="8" t="s">
        <v>416</v>
      </c>
      <c r="V26" s="8" t="s">
        <v>417</v>
      </c>
      <c r="W26" s="8" t="s">
        <v>418</v>
      </c>
      <c r="X26" s="8" t="s">
        <v>256</v>
      </c>
      <c r="Y26" s="8" t="s">
        <v>136</v>
      </c>
      <c r="Z26" s="8" t="s">
        <v>341</v>
      </c>
      <c r="AA26" s="8" t="s">
        <v>419</v>
      </c>
      <c r="AB26" s="8" t="s">
        <v>221</v>
      </c>
    </row>
    <row r="27" customFormat="false" ht="62.25" hidden="false" customHeight="true" outlineLevel="0" collapsed="false">
      <c r="A27" s="11" t="s">
        <v>420</v>
      </c>
      <c r="B27" s="7" t="s">
        <v>110</v>
      </c>
      <c r="C27" s="11" t="s">
        <v>421</v>
      </c>
      <c r="D27" s="7" t="s">
        <v>422</v>
      </c>
      <c r="E27" s="7" t="s">
        <v>423</v>
      </c>
      <c r="F27" s="7" t="s">
        <v>424</v>
      </c>
      <c r="G27" s="7" t="s">
        <v>425</v>
      </c>
      <c r="H27" s="7" t="s">
        <v>426</v>
      </c>
      <c r="I27" s="12" t="n">
        <v>196798.26</v>
      </c>
      <c r="J27" s="7" t="s">
        <v>117</v>
      </c>
      <c r="K27" s="13" t="n">
        <v>0.42</v>
      </c>
      <c r="L27" s="13" t="n">
        <v>0.43</v>
      </c>
      <c r="M27" s="14" t="n">
        <f aca="false">ROUND((L27-K27)*100,2)</f>
        <v>1</v>
      </c>
      <c r="N27" s="12" t="n">
        <v>2051</v>
      </c>
      <c r="O27" s="7" t="s">
        <v>118</v>
      </c>
      <c r="P27" s="7" t="s">
        <v>402</v>
      </c>
      <c r="Q27" s="7" t="s">
        <v>427</v>
      </c>
      <c r="R27" s="7" t="s">
        <v>428</v>
      </c>
      <c r="S27" s="7" t="s">
        <v>429</v>
      </c>
      <c r="T27" s="7" t="s">
        <v>160</v>
      </c>
      <c r="U27" s="7" t="s">
        <v>216</v>
      </c>
      <c r="V27" s="7" t="s">
        <v>430</v>
      </c>
      <c r="W27" s="7" t="s">
        <v>431</v>
      </c>
      <c r="X27" s="7" t="s">
        <v>432</v>
      </c>
      <c r="Y27" s="7" t="s">
        <v>433</v>
      </c>
      <c r="Z27" s="7" t="s">
        <v>434</v>
      </c>
      <c r="AA27" s="7" t="s">
        <v>435</v>
      </c>
      <c r="AB27" s="7" t="s">
        <v>131</v>
      </c>
    </row>
    <row r="28" customFormat="false" ht="75" hidden="false" customHeight="true" outlineLevel="0" collapsed="false">
      <c r="A28" s="15" t="s">
        <v>420</v>
      </c>
      <c r="B28" s="8" t="s">
        <v>132</v>
      </c>
      <c r="C28" s="15" t="s">
        <v>436</v>
      </c>
      <c r="D28" s="8" t="s">
        <v>422</v>
      </c>
      <c r="E28" s="8" t="s">
        <v>423</v>
      </c>
      <c r="F28" s="8" t="s">
        <v>437</v>
      </c>
      <c r="G28" s="8" t="s">
        <v>135</v>
      </c>
      <c r="H28" s="8" t="s">
        <v>135</v>
      </c>
      <c r="I28" s="8" t="s">
        <v>136</v>
      </c>
      <c r="J28" s="8" t="s">
        <v>136</v>
      </c>
      <c r="K28" s="8" t="s">
        <v>136</v>
      </c>
      <c r="L28" s="8" t="s">
        <v>136</v>
      </c>
      <c r="M28" s="16" t="s">
        <v>136</v>
      </c>
      <c r="N28" s="8" t="s">
        <v>136</v>
      </c>
      <c r="O28" s="8"/>
      <c r="P28" s="8" t="s">
        <v>402</v>
      </c>
      <c r="Q28" s="8" t="s">
        <v>413</v>
      </c>
      <c r="R28" s="8" t="s">
        <v>139</v>
      </c>
      <c r="S28" s="8" t="s">
        <v>438</v>
      </c>
      <c r="T28" s="8" t="s">
        <v>439</v>
      </c>
      <c r="U28" s="8" t="s">
        <v>440</v>
      </c>
      <c r="V28" s="8" t="s">
        <v>441</v>
      </c>
      <c r="W28" s="8" t="s">
        <v>442</v>
      </c>
      <c r="X28" s="8" t="s">
        <v>256</v>
      </c>
      <c r="Y28" s="8" t="s">
        <v>443</v>
      </c>
      <c r="Z28" s="8" t="s">
        <v>444</v>
      </c>
      <c r="AA28" s="8" t="s">
        <v>445</v>
      </c>
      <c r="AB28" s="8" t="s">
        <v>317</v>
      </c>
    </row>
    <row r="29" customFormat="false" ht="62.25" hidden="false" customHeight="true" outlineLevel="0" collapsed="false">
      <c r="A29" s="11" t="s">
        <v>446</v>
      </c>
      <c r="B29" s="7" t="s">
        <v>110</v>
      </c>
      <c r="C29" s="11" t="s">
        <v>447</v>
      </c>
      <c r="D29" s="7" t="s">
        <v>422</v>
      </c>
      <c r="E29" s="7" t="s">
        <v>448</v>
      </c>
      <c r="F29" s="7" t="s">
        <v>449</v>
      </c>
      <c r="G29" s="7" t="s">
        <v>450</v>
      </c>
      <c r="H29" s="7" t="s">
        <v>451</v>
      </c>
      <c r="I29" s="12" t="n">
        <v>48769.39</v>
      </c>
      <c r="J29" s="7" t="s">
        <v>117</v>
      </c>
      <c r="K29" s="13" t="n">
        <v>0.12</v>
      </c>
      <c r="L29" s="13" t="n">
        <v>0.13</v>
      </c>
      <c r="M29" s="14" t="n">
        <f aca="false">ROUND((L29-K29)*100,2)</f>
        <v>1</v>
      </c>
      <c r="N29" s="12" t="n">
        <v>2667.98</v>
      </c>
      <c r="O29" s="7" t="s">
        <v>452</v>
      </c>
      <c r="P29" s="7" t="s">
        <v>453</v>
      </c>
      <c r="Q29" s="7" t="s">
        <v>454</v>
      </c>
      <c r="R29" s="7" t="s">
        <v>239</v>
      </c>
      <c r="S29" s="7" t="s">
        <v>455</v>
      </c>
      <c r="T29" s="7" t="s">
        <v>160</v>
      </c>
      <c r="U29" s="7" t="s">
        <v>216</v>
      </c>
      <c r="V29" s="7" t="s">
        <v>456</v>
      </c>
      <c r="W29" s="7" t="s">
        <v>457</v>
      </c>
      <c r="X29" s="7" t="s">
        <v>458</v>
      </c>
      <c r="Y29" s="7" t="s">
        <v>459</v>
      </c>
      <c r="Z29" s="7" t="s">
        <v>460</v>
      </c>
      <c r="AA29" s="7" t="s">
        <v>461</v>
      </c>
      <c r="AB29" s="7" t="s">
        <v>221</v>
      </c>
    </row>
    <row r="30" customFormat="false" ht="75" hidden="false" customHeight="true" outlineLevel="0" collapsed="false">
      <c r="A30" s="15" t="s">
        <v>446</v>
      </c>
      <c r="B30" s="8" t="s">
        <v>132</v>
      </c>
      <c r="C30" s="15" t="s">
        <v>462</v>
      </c>
      <c r="D30" s="8" t="s">
        <v>422</v>
      </c>
      <c r="E30" s="8" t="s">
        <v>448</v>
      </c>
      <c r="F30" s="8" t="s">
        <v>463</v>
      </c>
      <c r="G30" s="8" t="s">
        <v>135</v>
      </c>
      <c r="H30" s="8" t="s">
        <v>135</v>
      </c>
      <c r="I30" s="8" t="s">
        <v>136</v>
      </c>
      <c r="J30" s="8" t="s">
        <v>136</v>
      </c>
      <c r="K30" s="8" t="s">
        <v>136</v>
      </c>
      <c r="L30" s="8" t="s">
        <v>136</v>
      </c>
      <c r="M30" s="16" t="s">
        <v>136</v>
      </c>
      <c r="N30" s="8" t="s">
        <v>136</v>
      </c>
      <c r="O30" s="8"/>
      <c r="P30" s="8" t="s">
        <v>464</v>
      </c>
      <c r="Q30" s="8" t="s">
        <v>465</v>
      </c>
      <c r="R30" s="8" t="s">
        <v>139</v>
      </c>
      <c r="S30" s="8" t="s">
        <v>438</v>
      </c>
      <c r="T30" s="8" t="s">
        <v>466</v>
      </c>
      <c r="U30" s="8" t="s">
        <v>440</v>
      </c>
      <c r="V30" s="8" t="s">
        <v>467</v>
      </c>
      <c r="W30" s="8" t="s">
        <v>442</v>
      </c>
      <c r="X30" s="8" t="s">
        <v>256</v>
      </c>
      <c r="Y30" s="8" t="s">
        <v>136</v>
      </c>
      <c r="Z30" s="8" t="s">
        <v>468</v>
      </c>
      <c r="AA30" s="8" t="s">
        <v>469</v>
      </c>
      <c r="AB30" s="8" t="s">
        <v>221</v>
      </c>
    </row>
    <row r="31" customFormat="false" ht="75" hidden="false" customHeight="true" outlineLevel="0" collapsed="false">
      <c r="A31" s="11" t="s">
        <v>470</v>
      </c>
      <c r="B31" s="7" t="s">
        <v>110</v>
      </c>
      <c r="C31" s="11" t="s">
        <v>471</v>
      </c>
      <c r="D31" s="7" t="s">
        <v>422</v>
      </c>
      <c r="E31" s="7" t="s">
        <v>472</v>
      </c>
      <c r="F31" s="7" t="s">
        <v>473</v>
      </c>
      <c r="G31" s="7" t="s">
        <v>474</v>
      </c>
      <c r="H31" s="7" t="s">
        <v>475</v>
      </c>
      <c r="I31" s="12" t="n">
        <v>257102.44</v>
      </c>
      <c r="J31" s="7" t="s">
        <v>155</v>
      </c>
      <c r="K31" s="13" t="n">
        <v>0.08</v>
      </c>
      <c r="L31" s="13" t="n">
        <v>0.09</v>
      </c>
      <c r="M31" s="14" t="n">
        <f aca="false">ROUND((L31-K31)*100,2)</f>
        <v>1</v>
      </c>
      <c r="N31" s="12" t="n">
        <v>348.08</v>
      </c>
      <c r="O31" s="7" t="s">
        <v>118</v>
      </c>
      <c r="P31" s="7" t="s">
        <v>476</v>
      </c>
      <c r="Q31" s="7" t="s">
        <v>477</v>
      </c>
      <c r="R31" s="7" t="s">
        <v>478</v>
      </c>
      <c r="S31" s="7" t="s">
        <v>479</v>
      </c>
      <c r="T31" s="7" t="s">
        <v>160</v>
      </c>
      <c r="U31" s="7" t="s">
        <v>216</v>
      </c>
      <c r="V31" s="7" t="s">
        <v>480</v>
      </c>
      <c r="W31" s="7" t="s">
        <v>481</v>
      </c>
      <c r="X31" s="7" t="s">
        <v>482</v>
      </c>
      <c r="Y31" s="7" t="s">
        <v>483</v>
      </c>
      <c r="Z31" s="7" t="s">
        <v>484</v>
      </c>
      <c r="AA31" s="7" t="s">
        <v>485</v>
      </c>
      <c r="AB31" s="7" t="s">
        <v>221</v>
      </c>
    </row>
    <row r="32" customFormat="false" ht="75" hidden="false" customHeight="true" outlineLevel="0" collapsed="false">
      <c r="A32" s="15" t="s">
        <v>470</v>
      </c>
      <c r="B32" s="8" t="s">
        <v>132</v>
      </c>
      <c r="C32" s="15" t="s">
        <v>486</v>
      </c>
      <c r="D32" s="8" t="s">
        <v>422</v>
      </c>
      <c r="E32" s="8" t="s">
        <v>472</v>
      </c>
      <c r="F32" s="8" t="s">
        <v>487</v>
      </c>
      <c r="G32" s="8" t="s">
        <v>135</v>
      </c>
      <c r="H32" s="8" t="s">
        <v>135</v>
      </c>
      <c r="I32" s="8" t="s">
        <v>136</v>
      </c>
      <c r="J32" s="8" t="s">
        <v>136</v>
      </c>
      <c r="K32" s="8" t="s">
        <v>136</v>
      </c>
      <c r="L32" s="8" t="s">
        <v>136</v>
      </c>
      <c r="M32" s="16" t="s">
        <v>136</v>
      </c>
      <c r="N32" s="8" t="s">
        <v>136</v>
      </c>
      <c r="O32" s="8"/>
      <c r="P32" s="8" t="s">
        <v>488</v>
      </c>
      <c r="Q32" s="8" t="s">
        <v>489</v>
      </c>
      <c r="R32" s="8" t="s">
        <v>490</v>
      </c>
      <c r="S32" s="8" t="s">
        <v>491</v>
      </c>
      <c r="T32" s="8" t="s">
        <v>492</v>
      </c>
      <c r="U32" s="8" t="s">
        <v>440</v>
      </c>
      <c r="V32" s="8" t="s">
        <v>493</v>
      </c>
      <c r="W32" s="8" t="s">
        <v>442</v>
      </c>
      <c r="X32" s="8" t="s">
        <v>256</v>
      </c>
      <c r="Y32" s="8" t="s">
        <v>136</v>
      </c>
      <c r="Z32" s="8" t="s">
        <v>494</v>
      </c>
      <c r="AA32" s="8" t="s">
        <v>495</v>
      </c>
      <c r="AB32" s="8" t="s">
        <v>496</v>
      </c>
    </row>
    <row r="33" customFormat="false" ht="62.25" hidden="false" customHeight="true" outlineLevel="0" collapsed="false">
      <c r="A33" s="11" t="s">
        <v>497</v>
      </c>
      <c r="B33" s="7" t="s">
        <v>110</v>
      </c>
      <c r="C33" s="11" t="s">
        <v>498</v>
      </c>
      <c r="D33" s="7" t="s">
        <v>422</v>
      </c>
      <c r="E33" s="7" t="s">
        <v>499</v>
      </c>
      <c r="F33" s="7" t="s">
        <v>500</v>
      </c>
      <c r="G33" s="7" t="s">
        <v>501</v>
      </c>
      <c r="H33" s="7" t="s">
        <v>502</v>
      </c>
      <c r="I33" s="12" t="n">
        <v>43072.65</v>
      </c>
      <c r="J33" s="7" t="s">
        <v>155</v>
      </c>
      <c r="K33" s="13" t="n">
        <v>0.15</v>
      </c>
      <c r="L33" s="13" t="n">
        <v>0.16</v>
      </c>
      <c r="M33" s="14" t="n">
        <f aca="false">ROUND((L33-K33)*100,2)</f>
        <v>1</v>
      </c>
      <c r="N33" s="12" t="n">
        <v>499</v>
      </c>
      <c r="O33" s="7" t="s">
        <v>118</v>
      </c>
      <c r="P33" s="7" t="s">
        <v>402</v>
      </c>
      <c r="Q33" s="7" t="s">
        <v>503</v>
      </c>
      <c r="R33" s="7" t="s">
        <v>239</v>
      </c>
      <c r="S33" s="7" t="s">
        <v>504</v>
      </c>
      <c r="T33" s="7" t="s">
        <v>160</v>
      </c>
      <c r="U33" s="7" t="s">
        <v>216</v>
      </c>
      <c r="V33" s="7" t="s">
        <v>505</v>
      </c>
      <c r="W33" s="7" t="s">
        <v>506</v>
      </c>
      <c r="X33" s="7" t="s">
        <v>507</v>
      </c>
      <c r="Y33" s="7" t="s">
        <v>508</v>
      </c>
      <c r="Z33" s="7" t="s">
        <v>509</v>
      </c>
      <c r="AA33" s="7" t="s">
        <v>510</v>
      </c>
      <c r="AB33" s="7" t="s">
        <v>317</v>
      </c>
    </row>
    <row r="34" customFormat="false" ht="75" hidden="false" customHeight="true" outlineLevel="0" collapsed="false">
      <c r="A34" s="15" t="s">
        <v>497</v>
      </c>
      <c r="B34" s="8" t="s">
        <v>132</v>
      </c>
      <c r="C34" s="15" t="s">
        <v>511</v>
      </c>
      <c r="D34" s="8" t="s">
        <v>422</v>
      </c>
      <c r="E34" s="8" t="s">
        <v>499</v>
      </c>
      <c r="F34" s="8" t="s">
        <v>512</v>
      </c>
      <c r="G34" s="8" t="s">
        <v>135</v>
      </c>
      <c r="H34" s="8" t="s">
        <v>135</v>
      </c>
      <c r="I34" s="8" t="s">
        <v>136</v>
      </c>
      <c r="J34" s="8" t="s">
        <v>136</v>
      </c>
      <c r="K34" s="8" t="s">
        <v>136</v>
      </c>
      <c r="L34" s="8" t="s">
        <v>136</v>
      </c>
      <c r="M34" s="16" t="s">
        <v>136</v>
      </c>
      <c r="N34" s="8" t="s">
        <v>136</v>
      </c>
      <c r="O34" s="8"/>
      <c r="P34" s="8" t="s">
        <v>402</v>
      </c>
      <c r="Q34" s="8" t="s">
        <v>413</v>
      </c>
      <c r="R34" s="8" t="s">
        <v>139</v>
      </c>
      <c r="S34" s="8" t="s">
        <v>513</v>
      </c>
      <c r="T34" s="8" t="s">
        <v>514</v>
      </c>
      <c r="U34" s="8" t="s">
        <v>515</v>
      </c>
      <c r="V34" s="8" t="s">
        <v>516</v>
      </c>
      <c r="W34" s="8" t="s">
        <v>442</v>
      </c>
      <c r="X34" s="8" t="s">
        <v>256</v>
      </c>
      <c r="Y34" s="8" t="s">
        <v>136</v>
      </c>
      <c r="Z34" s="8" t="s">
        <v>341</v>
      </c>
      <c r="AA34" s="8" t="s">
        <v>469</v>
      </c>
      <c r="AB34" s="8" t="s">
        <v>317</v>
      </c>
    </row>
    <row r="35" customFormat="false" ht="62.25" hidden="false" customHeight="true" outlineLevel="0" collapsed="false">
      <c r="A35" s="11" t="s">
        <v>517</v>
      </c>
      <c r="B35" s="7" t="s">
        <v>110</v>
      </c>
      <c r="C35" s="11" t="s">
        <v>518</v>
      </c>
      <c r="D35" s="7" t="s">
        <v>519</v>
      </c>
      <c r="E35" s="7" t="s">
        <v>520</v>
      </c>
      <c r="F35" s="7" t="s">
        <v>521</v>
      </c>
      <c r="G35" s="7" t="s">
        <v>522</v>
      </c>
      <c r="H35" s="7" t="s">
        <v>523</v>
      </c>
      <c r="I35" s="12" t="n">
        <v>26480</v>
      </c>
      <c r="J35" s="7" t="s">
        <v>117</v>
      </c>
      <c r="K35" s="13" t="n">
        <v>0.13</v>
      </c>
      <c r="L35" s="13" t="n">
        <v>0.14</v>
      </c>
      <c r="M35" s="14" t="n">
        <f aca="false">ROUND((L35-K35)*100,2)</f>
        <v>1</v>
      </c>
      <c r="N35" s="12" t="n">
        <v>400</v>
      </c>
      <c r="O35" s="7" t="s">
        <v>118</v>
      </c>
      <c r="P35" s="7" t="s">
        <v>524</v>
      </c>
      <c r="Q35" s="7" t="s">
        <v>525</v>
      </c>
      <c r="R35" s="7" t="s">
        <v>239</v>
      </c>
      <c r="S35" s="7" t="s">
        <v>526</v>
      </c>
      <c r="T35" s="7" t="s">
        <v>160</v>
      </c>
      <c r="U35" s="7" t="s">
        <v>216</v>
      </c>
      <c r="V35" s="7" t="s">
        <v>527</v>
      </c>
      <c r="W35" s="7" t="s">
        <v>528</v>
      </c>
      <c r="X35" s="7" t="s">
        <v>529</v>
      </c>
      <c r="Y35" s="7" t="s">
        <v>530</v>
      </c>
      <c r="Z35" s="7" t="s">
        <v>531</v>
      </c>
      <c r="AA35" s="7" t="s">
        <v>532</v>
      </c>
      <c r="AB35" s="7" t="s">
        <v>131</v>
      </c>
    </row>
    <row r="36" customFormat="false" ht="75" hidden="false" customHeight="true" outlineLevel="0" collapsed="false">
      <c r="A36" s="15" t="s">
        <v>517</v>
      </c>
      <c r="B36" s="8" t="s">
        <v>132</v>
      </c>
      <c r="C36" s="15" t="s">
        <v>533</v>
      </c>
      <c r="D36" s="8" t="s">
        <v>519</v>
      </c>
      <c r="E36" s="8" t="s">
        <v>520</v>
      </c>
      <c r="F36" s="8" t="s">
        <v>534</v>
      </c>
      <c r="G36" s="8" t="s">
        <v>135</v>
      </c>
      <c r="H36" s="8" t="s">
        <v>135</v>
      </c>
      <c r="I36" s="8" t="s">
        <v>136</v>
      </c>
      <c r="J36" s="8" t="s">
        <v>136</v>
      </c>
      <c r="K36" s="8" t="s">
        <v>136</v>
      </c>
      <c r="L36" s="8" t="s">
        <v>136</v>
      </c>
      <c r="M36" s="16" t="s">
        <v>136</v>
      </c>
      <c r="N36" s="8" t="s">
        <v>136</v>
      </c>
      <c r="O36" s="8"/>
      <c r="P36" s="8" t="s">
        <v>535</v>
      </c>
      <c r="Q36" s="8" t="s">
        <v>536</v>
      </c>
      <c r="R36" s="8" t="s">
        <v>139</v>
      </c>
      <c r="S36" s="8" t="s">
        <v>537</v>
      </c>
      <c r="T36" s="8" t="s">
        <v>538</v>
      </c>
      <c r="U36" s="8" t="s">
        <v>539</v>
      </c>
      <c r="V36" s="8" t="s">
        <v>540</v>
      </c>
      <c r="W36" s="8" t="s">
        <v>541</v>
      </c>
      <c r="X36" s="8" t="s">
        <v>256</v>
      </c>
      <c r="Y36" s="8" t="s">
        <v>136</v>
      </c>
      <c r="Z36" s="8" t="s">
        <v>341</v>
      </c>
      <c r="AA36" s="8" t="s">
        <v>542</v>
      </c>
      <c r="AB36" s="8" t="s">
        <v>317</v>
      </c>
    </row>
    <row r="37" customFormat="false" ht="62.25" hidden="false" customHeight="true" outlineLevel="0" collapsed="false">
      <c r="A37" s="11" t="s">
        <v>543</v>
      </c>
      <c r="B37" s="7" t="s">
        <v>110</v>
      </c>
      <c r="C37" s="11" t="s">
        <v>544</v>
      </c>
      <c r="D37" s="7" t="s">
        <v>519</v>
      </c>
      <c r="E37" s="7" t="s">
        <v>545</v>
      </c>
      <c r="F37" s="7" t="s">
        <v>546</v>
      </c>
      <c r="G37" s="7" t="s">
        <v>547</v>
      </c>
      <c r="H37" s="7" t="s">
        <v>548</v>
      </c>
      <c r="I37" s="12" t="n">
        <v>149266.76</v>
      </c>
      <c r="J37" s="7" t="s">
        <v>155</v>
      </c>
      <c r="K37" s="13" t="n">
        <v>0.533</v>
      </c>
      <c r="L37" s="13" t="n">
        <v>0.553</v>
      </c>
      <c r="M37" s="14" t="n">
        <f aca="false">ROUND((L37-K37)*100,2)</f>
        <v>2</v>
      </c>
      <c r="N37" s="12" t="n">
        <v>16.22</v>
      </c>
      <c r="O37" s="7" t="s">
        <v>549</v>
      </c>
      <c r="P37" s="7" t="s">
        <v>550</v>
      </c>
      <c r="Q37" s="7" t="s">
        <v>551</v>
      </c>
      <c r="R37" s="7" t="s">
        <v>552</v>
      </c>
      <c r="S37" s="7" t="s">
        <v>553</v>
      </c>
      <c r="T37" s="7" t="s">
        <v>160</v>
      </c>
      <c r="U37" s="7" t="s">
        <v>216</v>
      </c>
      <c r="V37" s="7" t="s">
        <v>554</v>
      </c>
      <c r="W37" s="7" t="s">
        <v>555</v>
      </c>
      <c r="X37" s="7" t="s">
        <v>556</v>
      </c>
      <c r="Y37" s="7" t="s">
        <v>557</v>
      </c>
      <c r="Z37" s="7" t="s">
        <v>558</v>
      </c>
      <c r="AA37" s="7" t="s">
        <v>559</v>
      </c>
      <c r="AB37" s="7" t="s">
        <v>221</v>
      </c>
    </row>
    <row r="38" customFormat="false" ht="75" hidden="false" customHeight="true" outlineLevel="0" collapsed="false">
      <c r="A38" s="15" t="s">
        <v>543</v>
      </c>
      <c r="B38" s="8" t="s">
        <v>132</v>
      </c>
      <c r="C38" s="15" t="s">
        <v>560</v>
      </c>
      <c r="D38" s="8" t="s">
        <v>519</v>
      </c>
      <c r="E38" s="8" t="s">
        <v>545</v>
      </c>
      <c r="F38" s="8" t="s">
        <v>561</v>
      </c>
      <c r="G38" s="8" t="s">
        <v>135</v>
      </c>
      <c r="H38" s="8" t="s">
        <v>135</v>
      </c>
      <c r="I38" s="8" t="s">
        <v>136</v>
      </c>
      <c r="J38" s="8" t="s">
        <v>136</v>
      </c>
      <c r="K38" s="8" t="s">
        <v>136</v>
      </c>
      <c r="L38" s="8" t="s">
        <v>136</v>
      </c>
      <c r="M38" s="16" t="s">
        <v>136</v>
      </c>
      <c r="N38" s="8" t="s">
        <v>136</v>
      </c>
      <c r="O38" s="8"/>
      <c r="P38" s="8" t="s">
        <v>562</v>
      </c>
      <c r="Q38" s="8" t="s">
        <v>563</v>
      </c>
      <c r="R38" s="8" t="s">
        <v>564</v>
      </c>
      <c r="S38" s="8" t="s">
        <v>565</v>
      </c>
      <c r="T38" s="8" t="s">
        <v>566</v>
      </c>
      <c r="U38" s="8" t="s">
        <v>567</v>
      </c>
      <c r="V38" s="8" t="s">
        <v>568</v>
      </c>
      <c r="W38" s="8" t="s">
        <v>569</v>
      </c>
      <c r="X38" s="8" t="s">
        <v>256</v>
      </c>
      <c r="Y38" s="8" t="s">
        <v>136</v>
      </c>
      <c r="Z38" s="8" t="s">
        <v>570</v>
      </c>
      <c r="AA38" s="8" t="s">
        <v>571</v>
      </c>
      <c r="AB38" s="8" t="s">
        <v>496</v>
      </c>
    </row>
    <row r="39" customFormat="false" ht="62.25" hidden="false" customHeight="true" outlineLevel="0" collapsed="false">
      <c r="A39" s="11" t="s">
        <v>572</v>
      </c>
      <c r="B39" s="7" t="s">
        <v>110</v>
      </c>
      <c r="C39" s="11" t="s">
        <v>573</v>
      </c>
      <c r="D39" s="7" t="s">
        <v>519</v>
      </c>
      <c r="E39" s="7" t="s">
        <v>574</v>
      </c>
      <c r="F39" s="7" t="s">
        <v>575</v>
      </c>
      <c r="G39" s="7" t="s">
        <v>576</v>
      </c>
      <c r="H39" s="7" t="s">
        <v>577</v>
      </c>
      <c r="I39" s="12" t="n">
        <v>7142.44</v>
      </c>
      <c r="J39" s="7" t="s">
        <v>155</v>
      </c>
      <c r="K39" s="7" t="s">
        <v>136</v>
      </c>
      <c r="L39" s="7" t="s">
        <v>136</v>
      </c>
      <c r="M39" s="17" t="n">
        <v>14</v>
      </c>
      <c r="N39" s="12" t="n">
        <v>99.99</v>
      </c>
      <c r="O39" s="7" t="s">
        <v>578</v>
      </c>
      <c r="P39" s="7" t="s">
        <v>402</v>
      </c>
      <c r="Q39" s="7" t="s">
        <v>579</v>
      </c>
      <c r="R39" s="7" t="s">
        <v>239</v>
      </c>
      <c r="S39" s="7" t="s">
        <v>580</v>
      </c>
      <c r="T39" s="7" t="s">
        <v>160</v>
      </c>
      <c r="U39" s="7" t="s">
        <v>216</v>
      </c>
      <c r="V39" s="7" t="s">
        <v>581</v>
      </c>
      <c r="W39" s="7" t="s">
        <v>418</v>
      </c>
      <c r="X39" s="7" t="s">
        <v>582</v>
      </c>
      <c r="Y39" s="7" t="s">
        <v>583</v>
      </c>
      <c r="Z39" s="7" t="s">
        <v>584</v>
      </c>
      <c r="AA39" s="7" t="s">
        <v>585</v>
      </c>
      <c r="AB39" s="7" t="s">
        <v>496</v>
      </c>
    </row>
    <row r="40" customFormat="false" ht="75" hidden="false" customHeight="true" outlineLevel="0" collapsed="false">
      <c r="A40" s="15" t="s">
        <v>572</v>
      </c>
      <c r="B40" s="8" t="s">
        <v>132</v>
      </c>
      <c r="C40" s="15" t="s">
        <v>586</v>
      </c>
      <c r="D40" s="8" t="s">
        <v>519</v>
      </c>
      <c r="E40" s="8" t="s">
        <v>574</v>
      </c>
      <c r="F40" s="8" t="s">
        <v>587</v>
      </c>
      <c r="G40" s="8" t="s">
        <v>135</v>
      </c>
      <c r="H40" s="8" t="s">
        <v>135</v>
      </c>
      <c r="I40" s="8" t="s">
        <v>136</v>
      </c>
      <c r="J40" s="8" t="s">
        <v>136</v>
      </c>
      <c r="K40" s="8" t="s">
        <v>136</v>
      </c>
      <c r="L40" s="8" t="s">
        <v>136</v>
      </c>
      <c r="M40" s="16" t="s">
        <v>136</v>
      </c>
      <c r="N40" s="8" t="s">
        <v>136</v>
      </c>
      <c r="O40" s="8"/>
      <c r="P40" s="8" t="s">
        <v>402</v>
      </c>
      <c r="Q40" s="8" t="s">
        <v>413</v>
      </c>
      <c r="R40" s="8" t="s">
        <v>139</v>
      </c>
      <c r="S40" s="8" t="s">
        <v>588</v>
      </c>
      <c r="T40" s="8" t="s">
        <v>589</v>
      </c>
      <c r="U40" s="8" t="s">
        <v>590</v>
      </c>
      <c r="V40" s="8" t="s">
        <v>591</v>
      </c>
      <c r="W40" s="8" t="s">
        <v>418</v>
      </c>
      <c r="X40" s="8" t="s">
        <v>256</v>
      </c>
      <c r="Y40" s="8" t="s">
        <v>136</v>
      </c>
      <c r="Z40" s="8" t="s">
        <v>341</v>
      </c>
      <c r="AA40" s="8" t="s">
        <v>592</v>
      </c>
      <c r="AB40" s="8" t="s">
        <v>496</v>
      </c>
    </row>
    <row r="41" customFormat="false" ht="87" hidden="false" customHeight="true" outlineLevel="0" collapsed="false">
      <c r="A41" s="11" t="s">
        <v>593</v>
      </c>
      <c r="B41" s="7" t="s">
        <v>110</v>
      </c>
      <c r="C41" s="11" t="s">
        <v>594</v>
      </c>
      <c r="D41" s="7" t="s">
        <v>595</v>
      </c>
      <c r="E41" s="7" t="s">
        <v>596</v>
      </c>
      <c r="F41" s="7" t="s">
        <v>597</v>
      </c>
      <c r="G41" s="7" t="s">
        <v>598</v>
      </c>
      <c r="H41" s="7" t="s">
        <v>599</v>
      </c>
      <c r="I41" s="12" t="n">
        <v>5009.53</v>
      </c>
      <c r="J41" s="7" t="s">
        <v>117</v>
      </c>
      <c r="K41" s="13" t="n">
        <v>0.02</v>
      </c>
      <c r="L41" s="13" t="n">
        <v>0.03</v>
      </c>
      <c r="M41" s="14" t="n">
        <f aca="false">ROUND((L41-K41)*100,2)</f>
        <v>1</v>
      </c>
      <c r="N41" s="12" t="n">
        <v>53</v>
      </c>
      <c r="O41" s="7" t="s">
        <v>600</v>
      </c>
      <c r="P41" s="7" t="s">
        <v>601</v>
      </c>
      <c r="Q41" s="7" t="s">
        <v>602</v>
      </c>
      <c r="R41" s="7" t="s">
        <v>603</v>
      </c>
      <c r="S41" s="7" t="s">
        <v>604</v>
      </c>
      <c r="T41" s="7" t="s">
        <v>160</v>
      </c>
      <c r="U41" s="7" t="s">
        <v>216</v>
      </c>
      <c r="V41" s="7" t="s">
        <v>605</v>
      </c>
      <c r="W41" s="7" t="s">
        <v>606</v>
      </c>
      <c r="X41" s="7" t="s">
        <v>607</v>
      </c>
      <c r="Y41" s="7" t="s">
        <v>608</v>
      </c>
      <c r="Z41" s="7" t="s">
        <v>609</v>
      </c>
      <c r="AA41" s="7" t="s">
        <v>610</v>
      </c>
      <c r="AB41" s="7" t="s">
        <v>611</v>
      </c>
    </row>
    <row r="42" customFormat="false" ht="75" hidden="false" customHeight="true" outlineLevel="0" collapsed="false">
      <c r="A42" s="15" t="s">
        <v>593</v>
      </c>
      <c r="B42" s="8" t="s">
        <v>132</v>
      </c>
      <c r="C42" s="15" t="s">
        <v>612</v>
      </c>
      <c r="D42" s="8" t="s">
        <v>595</v>
      </c>
      <c r="E42" s="8" t="s">
        <v>596</v>
      </c>
      <c r="F42" s="8" t="s">
        <v>613</v>
      </c>
      <c r="G42" s="8" t="s">
        <v>135</v>
      </c>
      <c r="H42" s="8" t="s">
        <v>135</v>
      </c>
      <c r="I42" s="8" t="s">
        <v>136</v>
      </c>
      <c r="J42" s="8" t="s">
        <v>136</v>
      </c>
      <c r="K42" s="8" t="s">
        <v>136</v>
      </c>
      <c r="L42" s="8" t="s">
        <v>136</v>
      </c>
      <c r="M42" s="16" t="s">
        <v>136</v>
      </c>
      <c r="N42" s="8" t="s">
        <v>136</v>
      </c>
      <c r="O42" s="8"/>
      <c r="P42" s="8" t="s">
        <v>614</v>
      </c>
      <c r="Q42" s="8" t="s">
        <v>615</v>
      </c>
      <c r="R42" s="8" t="s">
        <v>139</v>
      </c>
      <c r="S42" s="8" t="s">
        <v>616</v>
      </c>
      <c r="T42" s="8" t="s">
        <v>617</v>
      </c>
      <c r="U42" s="8" t="s">
        <v>618</v>
      </c>
      <c r="V42" s="8" t="s">
        <v>619</v>
      </c>
      <c r="W42" s="8" t="s">
        <v>620</v>
      </c>
      <c r="X42" s="8" t="s">
        <v>256</v>
      </c>
      <c r="Y42" s="8" t="s">
        <v>136</v>
      </c>
      <c r="Z42" s="8" t="s">
        <v>621</v>
      </c>
      <c r="AA42" s="8" t="s">
        <v>622</v>
      </c>
      <c r="AB42" s="8" t="s">
        <v>221</v>
      </c>
    </row>
    <row r="43" customFormat="false" ht="62.25" hidden="false" customHeight="true" outlineLevel="0" collapsed="false">
      <c r="A43" s="11" t="s">
        <v>623</v>
      </c>
      <c r="B43" s="7" t="s">
        <v>110</v>
      </c>
      <c r="C43" s="11" t="s">
        <v>624</v>
      </c>
      <c r="D43" s="7" t="s">
        <v>595</v>
      </c>
      <c r="E43" s="7" t="s">
        <v>625</v>
      </c>
      <c r="F43" s="7" t="s">
        <v>626</v>
      </c>
      <c r="G43" s="7" t="s">
        <v>627</v>
      </c>
      <c r="H43" s="7" t="s">
        <v>628</v>
      </c>
      <c r="I43" s="12" t="n">
        <v>20629.75</v>
      </c>
      <c r="J43" s="7" t="s">
        <v>117</v>
      </c>
      <c r="K43" s="13" t="n">
        <v>0.33</v>
      </c>
      <c r="L43" s="13" t="n">
        <v>0.34</v>
      </c>
      <c r="M43" s="14" t="n">
        <f aca="false">ROUND((L43-K43)*100,2)</f>
        <v>1</v>
      </c>
      <c r="N43" s="12" t="n">
        <v>7</v>
      </c>
      <c r="O43" s="7" t="s">
        <v>349</v>
      </c>
      <c r="P43" s="7" t="s">
        <v>614</v>
      </c>
      <c r="Q43" s="7" t="s">
        <v>629</v>
      </c>
      <c r="R43" s="7" t="s">
        <v>239</v>
      </c>
      <c r="S43" s="7" t="s">
        <v>630</v>
      </c>
      <c r="T43" s="7" t="s">
        <v>160</v>
      </c>
      <c r="U43" s="7" t="s">
        <v>216</v>
      </c>
      <c r="V43" s="7" t="s">
        <v>631</v>
      </c>
      <c r="W43" s="7" t="s">
        <v>632</v>
      </c>
      <c r="X43" s="7" t="s">
        <v>633</v>
      </c>
      <c r="Y43" s="7" t="s">
        <v>634</v>
      </c>
      <c r="Z43" s="7" t="s">
        <v>635</v>
      </c>
      <c r="AA43" s="7" t="s">
        <v>636</v>
      </c>
      <c r="AB43" s="7" t="s">
        <v>496</v>
      </c>
    </row>
    <row r="44" customFormat="false" ht="75" hidden="false" customHeight="true" outlineLevel="0" collapsed="false">
      <c r="A44" s="15" t="s">
        <v>623</v>
      </c>
      <c r="B44" s="8" t="s">
        <v>132</v>
      </c>
      <c r="C44" s="15" t="s">
        <v>637</v>
      </c>
      <c r="D44" s="8" t="s">
        <v>595</v>
      </c>
      <c r="E44" s="8" t="s">
        <v>625</v>
      </c>
      <c r="F44" s="8" t="s">
        <v>638</v>
      </c>
      <c r="G44" s="8" t="s">
        <v>135</v>
      </c>
      <c r="H44" s="8" t="s">
        <v>135</v>
      </c>
      <c r="I44" s="8" t="s">
        <v>136</v>
      </c>
      <c r="J44" s="8" t="s">
        <v>136</v>
      </c>
      <c r="K44" s="8" t="s">
        <v>136</v>
      </c>
      <c r="L44" s="8" t="s">
        <v>136</v>
      </c>
      <c r="M44" s="16" t="s">
        <v>136</v>
      </c>
      <c r="N44" s="8" t="s">
        <v>136</v>
      </c>
      <c r="O44" s="8"/>
      <c r="P44" s="8" t="s">
        <v>614</v>
      </c>
      <c r="Q44" s="8" t="s">
        <v>629</v>
      </c>
      <c r="R44" s="8" t="s">
        <v>139</v>
      </c>
      <c r="S44" s="8" t="s">
        <v>639</v>
      </c>
      <c r="T44" s="8" t="s">
        <v>640</v>
      </c>
      <c r="U44" s="8" t="s">
        <v>641</v>
      </c>
      <c r="V44" s="8" t="s">
        <v>642</v>
      </c>
      <c r="W44" s="8" t="s">
        <v>620</v>
      </c>
      <c r="X44" s="8" t="s">
        <v>256</v>
      </c>
      <c r="Y44" s="8" t="s">
        <v>136</v>
      </c>
      <c r="Z44" s="8" t="s">
        <v>341</v>
      </c>
      <c r="AA44" s="8" t="s">
        <v>229</v>
      </c>
      <c r="AB44" s="8" t="s">
        <v>496</v>
      </c>
    </row>
    <row r="45" customFormat="false" ht="99.75" hidden="false" customHeight="true" outlineLevel="0" collapsed="false">
      <c r="A45" s="11" t="s">
        <v>643</v>
      </c>
      <c r="B45" s="7" t="s">
        <v>110</v>
      </c>
      <c r="C45" s="11" t="s">
        <v>644</v>
      </c>
      <c r="D45" s="7" t="s">
        <v>645</v>
      </c>
      <c r="E45" s="7" t="s">
        <v>646</v>
      </c>
      <c r="F45" s="7" t="s">
        <v>647</v>
      </c>
      <c r="G45" s="7" t="s">
        <v>648</v>
      </c>
      <c r="H45" s="7" t="s">
        <v>649</v>
      </c>
      <c r="I45" s="12" t="n">
        <v>16276.7</v>
      </c>
      <c r="J45" s="7" t="s">
        <v>117</v>
      </c>
      <c r="K45" s="13" t="n">
        <v>0.05</v>
      </c>
      <c r="L45" s="13" t="n">
        <v>0.06</v>
      </c>
      <c r="M45" s="14" t="n">
        <f aca="false">ROUND((L45-K45)*100,2)</f>
        <v>1</v>
      </c>
      <c r="N45" s="12" t="n">
        <v>1410.3</v>
      </c>
      <c r="O45" s="7" t="s">
        <v>118</v>
      </c>
      <c r="P45" s="7" t="s">
        <v>650</v>
      </c>
      <c r="Q45" s="7" t="s">
        <v>651</v>
      </c>
      <c r="R45" s="7" t="s">
        <v>239</v>
      </c>
      <c r="S45" s="7" t="s">
        <v>652</v>
      </c>
      <c r="T45" s="7" t="s">
        <v>160</v>
      </c>
      <c r="U45" s="7" t="s">
        <v>216</v>
      </c>
      <c r="V45" s="7" t="s">
        <v>653</v>
      </c>
      <c r="W45" s="7" t="s">
        <v>654</v>
      </c>
      <c r="X45" s="7" t="s">
        <v>655</v>
      </c>
      <c r="Y45" s="7" t="s">
        <v>656</v>
      </c>
      <c r="Z45" s="7" t="s">
        <v>657</v>
      </c>
      <c r="AA45" s="7" t="s">
        <v>658</v>
      </c>
      <c r="AB45" s="7" t="s">
        <v>659</v>
      </c>
    </row>
    <row r="46" customFormat="false" ht="75" hidden="false" customHeight="true" outlineLevel="0" collapsed="false">
      <c r="A46" s="15" t="s">
        <v>643</v>
      </c>
      <c r="B46" s="8" t="s">
        <v>132</v>
      </c>
      <c r="C46" s="15" t="s">
        <v>660</v>
      </c>
      <c r="D46" s="8" t="s">
        <v>645</v>
      </c>
      <c r="E46" s="8" t="s">
        <v>646</v>
      </c>
      <c r="F46" s="8" t="s">
        <v>661</v>
      </c>
      <c r="G46" s="8" t="s">
        <v>135</v>
      </c>
      <c r="H46" s="8" t="s">
        <v>135</v>
      </c>
      <c r="I46" s="8" t="s">
        <v>136</v>
      </c>
      <c r="J46" s="8" t="s">
        <v>136</v>
      </c>
      <c r="K46" s="8" t="s">
        <v>136</v>
      </c>
      <c r="L46" s="8" t="s">
        <v>136</v>
      </c>
      <c r="M46" s="16" t="s">
        <v>136</v>
      </c>
      <c r="N46" s="8" t="s">
        <v>136</v>
      </c>
      <c r="O46" s="8"/>
      <c r="P46" s="8" t="s">
        <v>662</v>
      </c>
      <c r="Q46" s="8" t="s">
        <v>663</v>
      </c>
      <c r="R46" s="8" t="s">
        <v>139</v>
      </c>
      <c r="S46" s="8" t="s">
        <v>664</v>
      </c>
      <c r="T46" s="8" t="s">
        <v>665</v>
      </c>
      <c r="U46" s="8" t="s">
        <v>666</v>
      </c>
      <c r="V46" s="8" t="s">
        <v>667</v>
      </c>
      <c r="W46" s="8" t="s">
        <v>668</v>
      </c>
      <c r="X46" s="8" t="s">
        <v>256</v>
      </c>
      <c r="Y46" s="8" t="s">
        <v>669</v>
      </c>
      <c r="Z46" s="8" t="s">
        <v>341</v>
      </c>
      <c r="AA46" s="8" t="s">
        <v>670</v>
      </c>
      <c r="AB46" s="8" t="s">
        <v>317</v>
      </c>
    </row>
    <row r="47" customFormat="false" ht="62.25" hidden="false" customHeight="true" outlineLevel="0" collapsed="false">
      <c r="A47" s="11" t="s">
        <v>671</v>
      </c>
      <c r="B47" s="7" t="s">
        <v>110</v>
      </c>
      <c r="C47" s="11" t="s">
        <v>672</v>
      </c>
      <c r="D47" s="7" t="s">
        <v>645</v>
      </c>
      <c r="E47" s="7" t="s">
        <v>673</v>
      </c>
      <c r="F47" s="7" t="s">
        <v>674</v>
      </c>
      <c r="G47" s="7" t="s">
        <v>675</v>
      </c>
      <c r="H47" s="7" t="s">
        <v>676</v>
      </c>
      <c r="I47" s="12" t="n">
        <v>69089.55</v>
      </c>
      <c r="J47" s="7" t="s">
        <v>117</v>
      </c>
      <c r="K47" s="13" t="n">
        <v>0.13</v>
      </c>
      <c r="L47" s="13" t="n">
        <v>0.14</v>
      </c>
      <c r="M47" s="14" t="n">
        <f aca="false">ROUND((L47-K47)*100,2)</f>
        <v>1</v>
      </c>
      <c r="N47" s="12" t="n">
        <v>1907</v>
      </c>
      <c r="O47" s="7" t="s">
        <v>118</v>
      </c>
      <c r="P47" s="7" t="s">
        <v>677</v>
      </c>
      <c r="Q47" s="7" t="s">
        <v>678</v>
      </c>
      <c r="R47" s="7" t="s">
        <v>679</v>
      </c>
      <c r="S47" s="7" t="s">
        <v>680</v>
      </c>
      <c r="T47" s="7" t="s">
        <v>160</v>
      </c>
      <c r="U47" s="7" t="s">
        <v>216</v>
      </c>
      <c r="V47" s="7" t="s">
        <v>681</v>
      </c>
      <c r="W47" s="7" t="s">
        <v>682</v>
      </c>
      <c r="X47" s="7" t="s">
        <v>683</v>
      </c>
      <c r="Y47" s="7" t="s">
        <v>684</v>
      </c>
      <c r="Z47" s="7" t="s">
        <v>685</v>
      </c>
      <c r="AA47" s="7" t="s">
        <v>686</v>
      </c>
      <c r="AB47" s="7" t="s">
        <v>687</v>
      </c>
    </row>
    <row r="48" customFormat="false" ht="75" hidden="false" customHeight="true" outlineLevel="0" collapsed="false">
      <c r="A48" s="15" t="s">
        <v>671</v>
      </c>
      <c r="B48" s="8" t="s">
        <v>132</v>
      </c>
      <c r="C48" s="15" t="s">
        <v>688</v>
      </c>
      <c r="D48" s="8" t="s">
        <v>645</v>
      </c>
      <c r="E48" s="8" t="s">
        <v>673</v>
      </c>
      <c r="F48" s="8" t="s">
        <v>689</v>
      </c>
      <c r="G48" s="8" t="s">
        <v>135</v>
      </c>
      <c r="H48" s="8" t="s">
        <v>135</v>
      </c>
      <c r="I48" s="8" t="s">
        <v>136</v>
      </c>
      <c r="J48" s="8" t="s">
        <v>136</v>
      </c>
      <c r="K48" s="8" t="s">
        <v>136</v>
      </c>
      <c r="L48" s="8" t="s">
        <v>136</v>
      </c>
      <c r="M48" s="16" t="s">
        <v>136</v>
      </c>
      <c r="N48" s="8" t="s">
        <v>136</v>
      </c>
      <c r="O48" s="8"/>
      <c r="P48" s="8" t="s">
        <v>690</v>
      </c>
      <c r="Q48" s="8" t="s">
        <v>663</v>
      </c>
      <c r="R48" s="8" t="s">
        <v>139</v>
      </c>
      <c r="S48" s="8" t="s">
        <v>691</v>
      </c>
      <c r="T48" s="8" t="s">
        <v>692</v>
      </c>
      <c r="U48" s="8" t="s">
        <v>693</v>
      </c>
      <c r="V48" s="8" t="s">
        <v>694</v>
      </c>
      <c r="W48" s="8" t="s">
        <v>668</v>
      </c>
      <c r="X48" s="8" t="s">
        <v>256</v>
      </c>
      <c r="Y48" s="8" t="s">
        <v>136</v>
      </c>
      <c r="Z48" s="8" t="s">
        <v>695</v>
      </c>
      <c r="AA48" s="8" t="s">
        <v>229</v>
      </c>
      <c r="AB48" s="8" t="s">
        <v>496</v>
      </c>
    </row>
    <row r="49" customFormat="false" ht="75" hidden="false" customHeight="true" outlineLevel="0" collapsed="false">
      <c r="A49" s="11" t="s">
        <v>696</v>
      </c>
      <c r="B49" s="7" t="s">
        <v>110</v>
      </c>
      <c r="C49" s="11" t="s">
        <v>697</v>
      </c>
      <c r="D49" s="7" t="s">
        <v>698</v>
      </c>
      <c r="E49" s="7" t="s">
        <v>699</v>
      </c>
      <c r="F49" s="7" t="s">
        <v>700</v>
      </c>
      <c r="G49" s="7" t="s">
        <v>701</v>
      </c>
      <c r="H49" s="7" t="s">
        <v>702</v>
      </c>
      <c r="I49" s="12" t="n">
        <v>354010.62</v>
      </c>
      <c r="J49" s="7" t="s">
        <v>117</v>
      </c>
      <c r="K49" s="13" t="n">
        <v>0.14</v>
      </c>
      <c r="L49" s="13" t="n">
        <v>0.15</v>
      </c>
      <c r="M49" s="14" t="n">
        <f aca="false">ROUND((L49-K49)*100,2)</f>
        <v>1</v>
      </c>
      <c r="N49" s="12" t="n">
        <v>30875.11</v>
      </c>
      <c r="O49" s="7" t="s">
        <v>118</v>
      </c>
      <c r="P49" s="7" t="s">
        <v>703</v>
      </c>
      <c r="Q49" s="7" t="s">
        <v>704</v>
      </c>
      <c r="R49" s="7" t="s">
        <v>239</v>
      </c>
      <c r="S49" s="7" t="s">
        <v>705</v>
      </c>
      <c r="T49" s="7" t="s">
        <v>160</v>
      </c>
      <c r="U49" s="7" t="s">
        <v>216</v>
      </c>
      <c r="V49" s="7" t="s">
        <v>706</v>
      </c>
      <c r="W49" s="7" t="s">
        <v>707</v>
      </c>
      <c r="X49" s="7" t="s">
        <v>708</v>
      </c>
      <c r="Y49" s="7" t="s">
        <v>709</v>
      </c>
      <c r="Z49" s="7" t="s">
        <v>710</v>
      </c>
      <c r="AA49" s="7" t="s">
        <v>711</v>
      </c>
      <c r="AB49" s="7" t="s">
        <v>317</v>
      </c>
    </row>
    <row r="50" customFormat="false" ht="75" hidden="false" customHeight="true" outlineLevel="0" collapsed="false">
      <c r="A50" s="15" t="s">
        <v>696</v>
      </c>
      <c r="B50" s="8" t="s">
        <v>132</v>
      </c>
      <c r="C50" s="15" t="s">
        <v>712</v>
      </c>
      <c r="D50" s="8" t="s">
        <v>698</v>
      </c>
      <c r="E50" s="8" t="s">
        <v>699</v>
      </c>
      <c r="F50" s="8" t="s">
        <v>713</v>
      </c>
      <c r="G50" s="8" t="s">
        <v>135</v>
      </c>
      <c r="H50" s="8" t="s">
        <v>135</v>
      </c>
      <c r="I50" s="8" t="s">
        <v>136</v>
      </c>
      <c r="J50" s="8" t="s">
        <v>136</v>
      </c>
      <c r="K50" s="8" t="s">
        <v>136</v>
      </c>
      <c r="L50" s="8" t="s">
        <v>136</v>
      </c>
      <c r="M50" s="16" t="s">
        <v>136</v>
      </c>
      <c r="N50" s="8" t="s">
        <v>136</v>
      </c>
      <c r="O50" s="8"/>
      <c r="P50" s="8" t="s">
        <v>714</v>
      </c>
      <c r="Q50" s="8" t="s">
        <v>715</v>
      </c>
      <c r="R50" s="8" t="s">
        <v>139</v>
      </c>
      <c r="S50" s="8" t="s">
        <v>716</v>
      </c>
      <c r="T50" s="8" t="s">
        <v>717</v>
      </c>
      <c r="U50" s="8" t="s">
        <v>718</v>
      </c>
      <c r="V50" s="8" t="s">
        <v>719</v>
      </c>
      <c r="W50" s="8" t="s">
        <v>720</v>
      </c>
      <c r="X50" s="8" t="s">
        <v>721</v>
      </c>
      <c r="Y50" s="8" t="s">
        <v>136</v>
      </c>
      <c r="Z50" s="8" t="s">
        <v>722</v>
      </c>
      <c r="AA50" s="8" t="s">
        <v>723</v>
      </c>
      <c r="AB50" s="8" t="s">
        <v>317</v>
      </c>
    </row>
    <row r="51" customFormat="false" ht="62.25" hidden="false" customHeight="true" outlineLevel="0" collapsed="false">
      <c r="A51" s="11" t="s">
        <v>724</v>
      </c>
      <c r="B51" s="7" t="s">
        <v>110</v>
      </c>
      <c r="C51" s="11" t="s">
        <v>725</v>
      </c>
      <c r="D51" s="7" t="s">
        <v>698</v>
      </c>
      <c r="E51" s="7" t="s">
        <v>726</v>
      </c>
      <c r="F51" s="7" t="s">
        <v>727</v>
      </c>
      <c r="G51" s="7" t="s">
        <v>728</v>
      </c>
      <c r="H51" s="7" t="s">
        <v>729</v>
      </c>
      <c r="I51" s="7" t="s">
        <v>136</v>
      </c>
      <c r="J51" s="7" t="s">
        <v>136</v>
      </c>
      <c r="K51" s="7" t="s">
        <v>136</v>
      </c>
      <c r="L51" s="7" t="s">
        <v>136</v>
      </c>
      <c r="M51" s="18" t="s">
        <v>266</v>
      </c>
      <c r="N51" s="7" t="s">
        <v>136</v>
      </c>
      <c r="O51" s="7" t="s">
        <v>267</v>
      </c>
      <c r="P51" s="7" t="s">
        <v>730</v>
      </c>
      <c r="Q51" s="7" t="s">
        <v>731</v>
      </c>
      <c r="R51" s="7" t="s">
        <v>239</v>
      </c>
      <c r="S51" s="7" t="s">
        <v>732</v>
      </c>
      <c r="T51" s="7" t="s">
        <v>160</v>
      </c>
      <c r="U51" s="7" t="s">
        <v>216</v>
      </c>
      <c r="V51" s="7" t="s">
        <v>733</v>
      </c>
      <c r="W51" s="7" t="s">
        <v>734</v>
      </c>
      <c r="X51" s="7" t="s">
        <v>735</v>
      </c>
      <c r="Y51" s="7" t="s">
        <v>736</v>
      </c>
      <c r="Z51" s="7" t="s">
        <v>737</v>
      </c>
      <c r="AA51" s="7" t="s">
        <v>738</v>
      </c>
      <c r="AB51" s="7" t="s">
        <v>317</v>
      </c>
    </row>
    <row r="52" customFormat="false" ht="75" hidden="false" customHeight="true" outlineLevel="0" collapsed="false">
      <c r="A52" s="15" t="s">
        <v>724</v>
      </c>
      <c r="B52" s="8" t="s">
        <v>132</v>
      </c>
      <c r="C52" s="15" t="s">
        <v>739</v>
      </c>
      <c r="D52" s="8" t="s">
        <v>698</v>
      </c>
      <c r="E52" s="8" t="s">
        <v>726</v>
      </c>
      <c r="F52" s="8" t="s">
        <v>740</v>
      </c>
      <c r="G52" s="8" t="s">
        <v>135</v>
      </c>
      <c r="H52" s="8" t="s">
        <v>135</v>
      </c>
      <c r="I52" s="8" t="s">
        <v>136</v>
      </c>
      <c r="J52" s="8" t="s">
        <v>136</v>
      </c>
      <c r="K52" s="8" t="s">
        <v>136</v>
      </c>
      <c r="L52" s="8" t="s">
        <v>136</v>
      </c>
      <c r="M52" s="16" t="s">
        <v>136</v>
      </c>
      <c r="N52" s="8" t="s">
        <v>136</v>
      </c>
      <c r="O52" s="8"/>
      <c r="P52" s="8" t="s">
        <v>741</v>
      </c>
      <c r="Q52" s="8" t="s">
        <v>731</v>
      </c>
      <c r="R52" s="8" t="s">
        <v>139</v>
      </c>
      <c r="S52" s="8" t="s">
        <v>742</v>
      </c>
      <c r="T52" s="8" t="s">
        <v>743</v>
      </c>
      <c r="U52" s="8" t="s">
        <v>744</v>
      </c>
      <c r="V52" s="8" t="s">
        <v>745</v>
      </c>
      <c r="W52" s="8" t="s">
        <v>746</v>
      </c>
      <c r="X52" s="8" t="s">
        <v>735</v>
      </c>
      <c r="Y52" s="8" t="s">
        <v>136</v>
      </c>
      <c r="Z52" s="8" t="s">
        <v>341</v>
      </c>
      <c r="AA52" s="8" t="s">
        <v>229</v>
      </c>
      <c r="AB52" s="8" t="s">
        <v>317</v>
      </c>
    </row>
    <row r="53" customFormat="false" ht="62.25" hidden="false" customHeight="true" outlineLevel="0" collapsed="false">
      <c r="A53" s="11" t="s">
        <v>747</v>
      </c>
      <c r="B53" s="7" t="s">
        <v>110</v>
      </c>
      <c r="C53" s="11" t="s">
        <v>748</v>
      </c>
      <c r="D53" s="7" t="s">
        <v>698</v>
      </c>
      <c r="E53" s="7" t="s">
        <v>749</v>
      </c>
      <c r="F53" s="7" t="s">
        <v>750</v>
      </c>
      <c r="G53" s="7" t="s">
        <v>751</v>
      </c>
      <c r="H53" s="7" t="s">
        <v>752</v>
      </c>
      <c r="I53" s="12" t="n">
        <v>24271.69</v>
      </c>
      <c r="J53" s="7" t="s">
        <v>117</v>
      </c>
      <c r="K53" s="13" t="n">
        <v>0.16</v>
      </c>
      <c r="L53" s="13" t="n">
        <v>0.17</v>
      </c>
      <c r="M53" s="14" t="n">
        <f aca="false">ROUND((L53-K53)*100,2)</f>
        <v>1</v>
      </c>
      <c r="N53" s="12" t="n">
        <v>25593.18</v>
      </c>
      <c r="O53" s="7" t="s">
        <v>118</v>
      </c>
      <c r="P53" s="7" t="s">
        <v>753</v>
      </c>
      <c r="Q53" s="7" t="s">
        <v>754</v>
      </c>
      <c r="R53" s="7" t="s">
        <v>755</v>
      </c>
      <c r="S53" s="7" t="s">
        <v>756</v>
      </c>
      <c r="T53" s="7" t="s">
        <v>160</v>
      </c>
      <c r="U53" s="7" t="s">
        <v>216</v>
      </c>
      <c r="V53" s="7" t="s">
        <v>757</v>
      </c>
      <c r="W53" s="7" t="s">
        <v>758</v>
      </c>
      <c r="X53" s="7" t="s">
        <v>759</v>
      </c>
      <c r="Y53" s="7" t="s">
        <v>760</v>
      </c>
      <c r="Z53" s="7" t="s">
        <v>761</v>
      </c>
      <c r="AA53" s="7" t="s">
        <v>762</v>
      </c>
      <c r="AB53" s="7" t="s">
        <v>496</v>
      </c>
    </row>
    <row r="54" customFormat="false" ht="37.5" hidden="false" customHeight="true" outlineLevel="0" collapsed="false">
      <c r="A54" s="15" t="s">
        <v>747</v>
      </c>
      <c r="B54" s="8" t="s">
        <v>132</v>
      </c>
      <c r="C54" s="15" t="s">
        <v>136</v>
      </c>
      <c r="D54" s="8" t="s">
        <v>698</v>
      </c>
      <c r="E54" s="8" t="s">
        <v>749</v>
      </c>
      <c r="F54" s="8" t="s">
        <v>763</v>
      </c>
      <c r="G54" s="8" t="s">
        <v>135</v>
      </c>
      <c r="H54" s="8" t="s">
        <v>135</v>
      </c>
      <c r="I54" s="8" t="s">
        <v>136</v>
      </c>
      <c r="J54" s="8" t="s">
        <v>136</v>
      </c>
      <c r="K54" s="8" t="s">
        <v>136</v>
      </c>
      <c r="L54" s="8" t="s">
        <v>136</v>
      </c>
      <c r="M54" s="16" t="s">
        <v>136</v>
      </c>
      <c r="N54" s="8" t="s">
        <v>136</v>
      </c>
      <c r="O54" s="8"/>
      <c r="P54" s="8" t="s">
        <v>136</v>
      </c>
      <c r="Q54" s="8" t="s">
        <v>136</v>
      </c>
      <c r="R54" s="8" t="s">
        <v>764</v>
      </c>
      <c r="S54" s="8" t="s">
        <v>136</v>
      </c>
      <c r="T54" s="8" t="s">
        <v>136</v>
      </c>
      <c r="U54" s="8" t="s">
        <v>136</v>
      </c>
      <c r="V54" s="8" t="s">
        <v>136</v>
      </c>
      <c r="W54" s="8" t="s">
        <v>136</v>
      </c>
      <c r="X54" s="8" t="s">
        <v>136</v>
      </c>
      <c r="Y54" s="8" t="s">
        <v>136</v>
      </c>
      <c r="Z54" s="8" t="s">
        <v>136</v>
      </c>
      <c r="AA54" s="8" t="s">
        <v>136</v>
      </c>
      <c r="AB54" s="8" t="s">
        <v>136</v>
      </c>
    </row>
    <row r="55" customFormat="false" ht="75" hidden="false" customHeight="true" outlineLevel="0" collapsed="false">
      <c r="A55" s="11" t="s">
        <v>765</v>
      </c>
      <c r="B55" s="7" t="s">
        <v>110</v>
      </c>
      <c r="C55" s="11" t="s">
        <v>766</v>
      </c>
      <c r="D55" s="7" t="s">
        <v>767</v>
      </c>
      <c r="E55" s="7" t="s">
        <v>768</v>
      </c>
      <c r="F55" s="7" t="s">
        <v>769</v>
      </c>
      <c r="G55" s="7" t="s">
        <v>770</v>
      </c>
      <c r="H55" s="7" t="s">
        <v>771</v>
      </c>
      <c r="I55" s="12" t="n">
        <v>94420442</v>
      </c>
      <c r="J55" s="7" t="s">
        <v>772</v>
      </c>
      <c r="K55" s="7" t="s">
        <v>136</v>
      </c>
      <c r="L55" s="7" t="s">
        <v>136</v>
      </c>
      <c r="M55" s="18" t="s">
        <v>266</v>
      </c>
      <c r="N55" s="7" t="s">
        <v>136</v>
      </c>
      <c r="O55" s="7" t="s">
        <v>773</v>
      </c>
      <c r="P55" s="7" t="s">
        <v>774</v>
      </c>
      <c r="Q55" s="7" t="s">
        <v>775</v>
      </c>
      <c r="R55" s="7" t="s">
        <v>239</v>
      </c>
      <c r="S55" s="7" t="s">
        <v>776</v>
      </c>
      <c r="T55" s="7" t="s">
        <v>160</v>
      </c>
      <c r="U55" s="7" t="s">
        <v>216</v>
      </c>
      <c r="V55" s="7" t="s">
        <v>777</v>
      </c>
      <c r="W55" s="7" t="s">
        <v>778</v>
      </c>
      <c r="X55" s="7" t="s">
        <v>779</v>
      </c>
      <c r="Y55" s="7" t="s">
        <v>780</v>
      </c>
      <c r="Z55" s="7" t="s">
        <v>781</v>
      </c>
      <c r="AA55" s="7" t="s">
        <v>782</v>
      </c>
      <c r="AB55" s="7" t="s">
        <v>783</v>
      </c>
    </row>
    <row r="56" customFormat="false" ht="75" hidden="false" customHeight="true" outlineLevel="0" collapsed="false">
      <c r="A56" s="15" t="s">
        <v>765</v>
      </c>
      <c r="B56" s="8" t="s">
        <v>132</v>
      </c>
      <c r="C56" s="15" t="s">
        <v>784</v>
      </c>
      <c r="D56" s="8" t="s">
        <v>767</v>
      </c>
      <c r="E56" s="8" t="s">
        <v>768</v>
      </c>
      <c r="F56" s="8" t="s">
        <v>785</v>
      </c>
      <c r="G56" s="8" t="s">
        <v>135</v>
      </c>
      <c r="H56" s="8" t="s">
        <v>135</v>
      </c>
      <c r="I56" s="8" t="s">
        <v>136</v>
      </c>
      <c r="J56" s="8" t="s">
        <v>136</v>
      </c>
      <c r="K56" s="8" t="s">
        <v>136</v>
      </c>
      <c r="L56" s="8" t="s">
        <v>136</v>
      </c>
      <c r="M56" s="16" t="s">
        <v>136</v>
      </c>
      <c r="N56" s="8" t="s">
        <v>136</v>
      </c>
      <c r="O56" s="8"/>
      <c r="P56" s="8" t="s">
        <v>786</v>
      </c>
      <c r="Q56" s="8" t="s">
        <v>787</v>
      </c>
      <c r="R56" s="8" t="s">
        <v>139</v>
      </c>
      <c r="S56" s="8" t="s">
        <v>363</v>
      </c>
      <c r="T56" s="8" t="s">
        <v>788</v>
      </c>
      <c r="U56" s="8" t="s">
        <v>365</v>
      </c>
      <c r="V56" s="8" t="s">
        <v>789</v>
      </c>
      <c r="W56" s="8" t="s">
        <v>790</v>
      </c>
      <c r="X56" s="8" t="s">
        <v>791</v>
      </c>
      <c r="Y56" s="8" t="s">
        <v>136</v>
      </c>
      <c r="Z56" s="8" t="s">
        <v>792</v>
      </c>
      <c r="AA56" s="8" t="s">
        <v>229</v>
      </c>
      <c r="AB56" s="8" t="s">
        <v>221</v>
      </c>
    </row>
    <row r="57" customFormat="false" ht="62.25" hidden="false" customHeight="true" outlineLevel="0" collapsed="false">
      <c r="A57" s="11" t="s">
        <v>793</v>
      </c>
      <c r="B57" s="7" t="s">
        <v>110</v>
      </c>
      <c r="C57" s="11" t="s">
        <v>794</v>
      </c>
      <c r="D57" s="7" t="s">
        <v>767</v>
      </c>
      <c r="E57" s="7" t="s">
        <v>795</v>
      </c>
      <c r="F57" s="7" t="s">
        <v>796</v>
      </c>
      <c r="G57" s="7" t="s">
        <v>797</v>
      </c>
      <c r="H57" s="7" t="s">
        <v>798</v>
      </c>
      <c r="I57" s="7" t="s">
        <v>136</v>
      </c>
      <c r="J57" s="7" t="s">
        <v>136</v>
      </c>
      <c r="K57" s="7" t="s">
        <v>136</v>
      </c>
      <c r="L57" s="7" t="s">
        <v>136</v>
      </c>
      <c r="M57" s="18" t="s">
        <v>266</v>
      </c>
      <c r="N57" s="7" t="s">
        <v>136</v>
      </c>
      <c r="O57" s="7" t="s">
        <v>267</v>
      </c>
      <c r="P57" s="7" t="s">
        <v>799</v>
      </c>
      <c r="Q57" s="7" t="s">
        <v>800</v>
      </c>
      <c r="R57" s="7" t="s">
        <v>801</v>
      </c>
      <c r="S57" s="7" t="s">
        <v>802</v>
      </c>
      <c r="T57" s="7" t="s">
        <v>160</v>
      </c>
      <c r="U57" s="7" t="s">
        <v>216</v>
      </c>
      <c r="V57" s="7" t="s">
        <v>803</v>
      </c>
      <c r="W57" s="7" t="s">
        <v>804</v>
      </c>
      <c r="X57" s="7" t="s">
        <v>805</v>
      </c>
      <c r="Y57" s="7" t="s">
        <v>136</v>
      </c>
      <c r="Z57" s="7" t="s">
        <v>806</v>
      </c>
      <c r="AA57" s="7" t="s">
        <v>807</v>
      </c>
      <c r="AB57" s="7" t="s">
        <v>783</v>
      </c>
    </row>
    <row r="58" customFormat="false" ht="75" hidden="false" customHeight="true" outlineLevel="0" collapsed="false">
      <c r="A58" s="15" t="s">
        <v>793</v>
      </c>
      <c r="B58" s="8" t="s">
        <v>132</v>
      </c>
      <c r="C58" s="15" t="s">
        <v>808</v>
      </c>
      <c r="D58" s="8" t="s">
        <v>767</v>
      </c>
      <c r="E58" s="8" t="s">
        <v>795</v>
      </c>
      <c r="F58" s="8" t="s">
        <v>809</v>
      </c>
      <c r="G58" s="8" t="s">
        <v>135</v>
      </c>
      <c r="H58" s="8" t="s">
        <v>135</v>
      </c>
      <c r="I58" s="8" t="s">
        <v>136</v>
      </c>
      <c r="J58" s="8" t="s">
        <v>136</v>
      </c>
      <c r="K58" s="8" t="s">
        <v>136</v>
      </c>
      <c r="L58" s="8" t="s">
        <v>136</v>
      </c>
      <c r="M58" s="16" t="s">
        <v>136</v>
      </c>
      <c r="N58" s="8" t="s">
        <v>136</v>
      </c>
      <c r="O58" s="8"/>
      <c r="P58" s="8" t="s">
        <v>810</v>
      </c>
      <c r="Q58" s="8" t="s">
        <v>811</v>
      </c>
      <c r="R58" s="8" t="s">
        <v>139</v>
      </c>
      <c r="S58" s="8" t="s">
        <v>812</v>
      </c>
      <c r="T58" s="8" t="s">
        <v>813</v>
      </c>
      <c r="U58" s="8" t="s">
        <v>814</v>
      </c>
      <c r="V58" s="8" t="s">
        <v>815</v>
      </c>
      <c r="W58" s="8" t="s">
        <v>816</v>
      </c>
      <c r="X58" s="8" t="s">
        <v>256</v>
      </c>
      <c r="Y58" s="8" t="s">
        <v>136</v>
      </c>
      <c r="Z58" s="8" t="s">
        <v>817</v>
      </c>
      <c r="AA58" s="8" t="s">
        <v>229</v>
      </c>
      <c r="AB58" s="8" t="s">
        <v>221</v>
      </c>
    </row>
    <row r="59" customFormat="false" ht="62.25" hidden="false" customHeight="true" outlineLevel="0" collapsed="false">
      <c r="A59" s="11" t="s">
        <v>818</v>
      </c>
      <c r="B59" s="7" t="s">
        <v>110</v>
      </c>
      <c r="C59" s="11" t="s">
        <v>819</v>
      </c>
      <c r="D59" s="7" t="s">
        <v>767</v>
      </c>
      <c r="E59" s="7" t="s">
        <v>820</v>
      </c>
      <c r="F59" s="7" t="s">
        <v>821</v>
      </c>
      <c r="G59" s="7" t="s">
        <v>822</v>
      </c>
      <c r="H59" s="7" t="s">
        <v>823</v>
      </c>
      <c r="I59" s="12" t="n">
        <v>15500000</v>
      </c>
      <c r="J59" s="7" t="s">
        <v>824</v>
      </c>
      <c r="K59" s="7" t="s">
        <v>136</v>
      </c>
      <c r="L59" s="7" t="s">
        <v>136</v>
      </c>
      <c r="M59" s="18" t="s">
        <v>266</v>
      </c>
      <c r="N59" s="7" t="s">
        <v>136</v>
      </c>
      <c r="O59" s="7" t="s">
        <v>267</v>
      </c>
      <c r="P59" s="7" t="s">
        <v>825</v>
      </c>
      <c r="Q59" s="7" t="s">
        <v>826</v>
      </c>
      <c r="R59" s="7" t="s">
        <v>239</v>
      </c>
      <c r="S59" s="7" t="s">
        <v>827</v>
      </c>
      <c r="T59" s="7" t="s">
        <v>160</v>
      </c>
      <c r="U59" s="7" t="s">
        <v>216</v>
      </c>
      <c r="V59" s="7" t="s">
        <v>828</v>
      </c>
      <c r="W59" s="7" t="s">
        <v>829</v>
      </c>
      <c r="X59" s="7" t="s">
        <v>830</v>
      </c>
      <c r="Y59" s="7" t="s">
        <v>136</v>
      </c>
      <c r="Z59" s="7" t="s">
        <v>831</v>
      </c>
      <c r="AA59" s="7" t="s">
        <v>832</v>
      </c>
      <c r="AB59" s="7" t="s">
        <v>221</v>
      </c>
    </row>
    <row r="60" customFormat="false" ht="75" hidden="false" customHeight="true" outlineLevel="0" collapsed="false">
      <c r="A60" s="15" t="s">
        <v>818</v>
      </c>
      <c r="B60" s="8" t="s">
        <v>132</v>
      </c>
      <c r="C60" s="15" t="s">
        <v>833</v>
      </c>
      <c r="D60" s="8" t="s">
        <v>767</v>
      </c>
      <c r="E60" s="8" t="s">
        <v>820</v>
      </c>
      <c r="F60" s="8" t="s">
        <v>834</v>
      </c>
      <c r="G60" s="8" t="s">
        <v>135</v>
      </c>
      <c r="H60" s="8" t="s">
        <v>135</v>
      </c>
      <c r="I60" s="8" t="s">
        <v>136</v>
      </c>
      <c r="J60" s="8" t="s">
        <v>136</v>
      </c>
      <c r="K60" s="8" t="s">
        <v>136</v>
      </c>
      <c r="L60" s="8" t="s">
        <v>136</v>
      </c>
      <c r="M60" s="16" t="s">
        <v>136</v>
      </c>
      <c r="N60" s="8" t="s">
        <v>136</v>
      </c>
      <c r="O60" s="8"/>
      <c r="P60" s="8" t="s">
        <v>835</v>
      </c>
      <c r="Q60" s="8" t="s">
        <v>826</v>
      </c>
      <c r="R60" s="8" t="s">
        <v>139</v>
      </c>
      <c r="S60" s="8" t="s">
        <v>836</v>
      </c>
      <c r="T60" s="8" t="s">
        <v>837</v>
      </c>
      <c r="U60" s="8" t="s">
        <v>838</v>
      </c>
      <c r="V60" s="8" t="s">
        <v>839</v>
      </c>
      <c r="W60" s="8" t="s">
        <v>816</v>
      </c>
      <c r="X60" s="8" t="s">
        <v>840</v>
      </c>
      <c r="Y60" s="8" t="s">
        <v>136</v>
      </c>
      <c r="Z60" s="8" t="s">
        <v>841</v>
      </c>
      <c r="AA60" s="8" t="s">
        <v>229</v>
      </c>
      <c r="AB60" s="8" t="s">
        <v>496</v>
      </c>
    </row>
  </sheetData>
  <autoFilter ref="A4:AB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24"/>
    <col collapsed="false" customWidth="true" hidden="false" outlineLevel="0" max="4" min="4" style="0" width="13"/>
    <col collapsed="false" customWidth="true" hidden="false" outlineLevel="0" max="5" min="5" style="0" width="16"/>
    <col collapsed="false" customWidth="true" hidden="false" outlineLevel="0" max="6" min="6" style="0" width="24"/>
    <col collapsed="false" customWidth="true" hidden="false" outlineLevel="0" max="7" min="7" style="0" width="46"/>
    <col collapsed="false" customWidth="true" hidden="false" outlineLevel="0" max="8" min="8" style="0" width="44"/>
    <col collapsed="false" customWidth="true" hidden="false" outlineLevel="0" max="9" min="9" style="0" width="8"/>
    <col collapsed="false" customWidth="true" hidden="false" outlineLevel="0" max="11" min="10" style="0" width="24"/>
    <col collapsed="false" customWidth="true" hidden="false" outlineLevel="0" max="12" min="12" style="0" width="26"/>
    <col collapsed="false" customWidth="true" hidden="false" outlineLevel="0" max="13" min="13" style="0" width="38"/>
    <col collapsed="false" customWidth="true" hidden="false" outlineLevel="0" max="14" min="14" style="0" width="32"/>
    <col collapsed="false" customWidth="true" hidden="false" outlineLevel="0" max="15" min="15" style="0" width="18"/>
    <col collapsed="false" customWidth="true" hidden="false" outlineLevel="0" max="16" min="16" style="0" width="20"/>
    <col collapsed="false" customWidth="true" hidden="false" outlineLevel="0" max="17" min="17" style="0" width="46"/>
    <col collapsed="false" customWidth="true" hidden="false" outlineLevel="0" max="18" min="18" style="0" width="44"/>
    <col collapsed="false" customWidth="true" hidden="false" outlineLevel="0" max="20" min="19" style="0" width="38"/>
    <col collapsed="false" customWidth="true" hidden="false" outlineLevel="0" max="22" min="21" style="0" width="32"/>
    <col collapsed="false" customWidth="true" hidden="false" outlineLevel="0" max="23" min="23" style="0" width="36"/>
    <col collapsed="false" customWidth="true" hidden="false" outlineLevel="0" max="24" min="24" style="0" width="16"/>
  </cols>
  <sheetData>
    <row r="1" customFormat="false" ht="17.35" hidden="false" customHeight="false" outlineLevel="0" collapsed="false">
      <c r="A1" s="1" t="s">
        <v>842</v>
      </c>
    </row>
    <row r="2" customFormat="false" ht="15" hidden="false" customHeight="false" outlineLevel="0" collapsed="false">
      <c r="A2" s="2" t="s">
        <v>843</v>
      </c>
    </row>
    <row r="4" customFormat="false" ht="42" hidden="false" customHeight="true" outlineLevel="0" collapsed="false">
      <c r="A4" s="3" t="s">
        <v>82</v>
      </c>
      <c r="B4" s="3" t="s">
        <v>83</v>
      </c>
      <c r="C4" s="3" t="s">
        <v>84</v>
      </c>
      <c r="D4" s="3" t="s">
        <v>844</v>
      </c>
      <c r="E4" s="3" t="s">
        <v>85</v>
      </c>
      <c r="F4" s="3" t="s">
        <v>845</v>
      </c>
      <c r="G4" s="3" t="s">
        <v>846</v>
      </c>
      <c r="H4" s="3" t="s">
        <v>847</v>
      </c>
      <c r="I4" s="3" t="s">
        <v>848</v>
      </c>
      <c r="J4" s="3" t="s">
        <v>849</v>
      </c>
      <c r="K4" s="3" t="s">
        <v>96</v>
      </c>
      <c r="L4" s="3" t="s">
        <v>97</v>
      </c>
      <c r="M4" s="3" t="s">
        <v>98</v>
      </c>
      <c r="N4" s="3" t="s">
        <v>99</v>
      </c>
      <c r="O4" s="3" t="s">
        <v>100</v>
      </c>
      <c r="P4" s="3" t="s">
        <v>101</v>
      </c>
      <c r="Q4" s="3" t="s">
        <v>102</v>
      </c>
      <c r="R4" s="3" t="s">
        <v>103</v>
      </c>
      <c r="S4" s="3" t="s">
        <v>850</v>
      </c>
      <c r="T4" s="3" t="s">
        <v>851</v>
      </c>
      <c r="U4" s="3" t="s">
        <v>106</v>
      </c>
      <c r="V4" s="3" t="s">
        <v>852</v>
      </c>
      <c r="W4" s="3" t="s">
        <v>853</v>
      </c>
      <c r="X4" s="3" t="s">
        <v>854</v>
      </c>
    </row>
    <row r="5" customFormat="false" ht="75" hidden="false" customHeight="true" outlineLevel="0" collapsed="false">
      <c r="A5" s="11" t="s">
        <v>855</v>
      </c>
      <c r="B5" s="7" t="s">
        <v>110</v>
      </c>
      <c r="C5" s="11" t="s">
        <v>856</v>
      </c>
      <c r="D5" s="7" t="s">
        <v>857</v>
      </c>
      <c r="E5" s="7" t="s">
        <v>858</v>
      </c>
      <c r="F5" s="11" t="s">
        <v>859</v>
      </c>
      <c r="G5" s="7" t="s">
        <v>860</v>
      </c>
      <c r="H5" s="7" t="s">
        <v>861</v>
      </c>
      <c r="I5" s="7" t="s">
        <v>862</v>
      </c>
      <c r="J5" s="7" t="s">
        <v>863</v>
      </c>
      <c r="K5" s="7" t="s">
        <v>864</v>
      </c>
      <c r="L5" s="7" t="s">
        <v>865</v>
      </c>
      <c r="M5" s="7" t="s">
        <v>866</v>
      </c>
      <c r="N5" s="7" t="s">
        <v>867</v>
      </c>
      <c r="O5" s="7" t="s">
        <v>160</v>
      </c>
      <c r="P5" s="7" t="s">
        <v>216</v>
      </c>
      <c r="Q5" s="7" t="s">
        <v>868</v>
      </c>
      <c r="R5" s="7" t="s">
        <v>869</v>
      </c>
      <c r="S5" s="7" t="s">
        <v>870</v>
      </c>
      <c r="T5" s="7" t="s">
        <v>871</v>
      </c>
      <c r="U5" s="7" t="s">
        <v>872</v>
      </c>
      <c r="V5" s="7" t="s">
        <v>873</v>
      </c>
      <c r="W5" s="7" t="s">
        <v>874</v>
      </c>
      <c r="X5" s="7" t="s">
        <v>875</v>
      </c>
    </row>
    <row r="6" customFormat="false" ht="75" hidden="false" customHeight="true" outlineLevel="0" collapsed="false">
      <c r="A6" s="15" t="s">
        <v>855</v>
      </c>
      <c r="B6" s="8" t="s">
        <v>132</v>
      </c>
      <c r="C6" s="15" t="s">
        <v>876</v>
      </c>
      <c r="D6" s="8" t="s">
        <v>857</v>
      </c>
      <c r="E6" s="8" t="s">
        <v>858</v>
      </c>
      <c r="F6" s="15" t="s">
        <v>877</v>
      </c>
      <c r="G6" s="8" t="s">
        <v>878</v>
      </c>
      <c r="H6" s="8" t="s">
        <v>861</v>
      </c>
      <c r="I6" s="8" t="s">
        <v>862</v>
      </c>
      <c r="J6" s="8" t="s">
        <v>863</v>
      </c>
      <c r="K6" s="8" t="s">
        <v>879</v>
      </c>
      <c r="L6" s="8" t="s">
        <v>880</v>
      </c>
      <c r="M6" s="8" t="s">
        <v>139</v>
      </c>
      <c r="N6" s="8" t="s">
        <v>881</v>
      </c>
      <c r="O6" s="8" t="s">
        <v>172</v>
      </c>
      <c r="P6" s="8" t="s">
        <v>173</v>
      </c>
      <c r="Q6" s="8" t="s">
        <v>882</v>
      </c>
      <c r="R6" s="8" t="s">
        <v>883</v>
      </c>
      <c r="S6" s="8" t="s">
        <v>884</v>
      </c>
      <c r="T6" s="8" t="s">
        <v>885</v>
      </c>
      <c r="U6" s="8" t="s">
        <v>341</v>
      </c>
      <c r="V6" s="8" t="s">
        <v>886</v>
      </c>
      <c r="W6" s="8" t="s">
        <v>874</v>
      </c>
      <c r="X6" s="8" t="s">
        <v>317</v>
      </c>
    </row>
    <row r="7" customFormat="false" ht="124.5" hidden="false" customHeight="true" outlineLevel="0" collapsed="false">
      <c r="A7" s="11" t="s">
        <v>887</v>
      </c>
      <c r="B7" s="7" t="s">
        <v>110</v>
      </c>
      <c r="C7" s="11" t="s">
        <v>888</v>
      </c>
      <c r="D7" s="7" t="s">
        <v>857</v>
      </c>
      <c r="E7" s="7" t="s">
        <v>889</v>
      </c>
      <c r="F7" s="11" t="s">
        <v>890</v>
      </c>
      <c r="G7" s="7" t="s">
        <v>891</v>
      </c>
      <c r="H7" s="7" t="s">
        <v>892</v>
      </c>
      <c r="I7" s="7" t="s">
        <v>893</v>
      </c>
      <c r="J7" s="7" t="s">
        <v>894</v>
      </c>
      <c r="K7" s="7" t="s">
        <v>895</v>
      </c>
      <c r="L7" s="7" t="s">
        <v>896</v>
      </c>
      <c r="M7" s="7" t="s">
        <v>187</v>
      </c>
      <c r="N7" s="7" t="s">
        <v>897</v>
      </c>
      <c r="O7" s="7" t="s">
        <v>160</v>
      </c>
      <c r="P7" s="7" t="s">
        <v>216</v>
      </c>
      <c r="Q7" s="7" t="s">
        <v>898</v>
      </c>
      <c r="R7" s="7" t="s">
        <v>899</v>
      </c>
      <c r="S7" s="7" t="s">
        <v>900</v>
      </c>
      <c r="T7" s="7" t="s">
        <v>901</v>
      </c>
      <c r="U7" s="7" t="s">
        <v>902</v>
      </c>
      <c r="V7" s="7" t="s">
        <v>903</v>
      </c>
      <c r="W7" s="7" t="s">
        <v>874</v>
      </c>
      <c r="X7" s="7" t="s">
        <v>904</v>
      </c>
    </row>
    <row r="8" customFormat="false" ht="75" hidden="false" customHeight="true" outlineLevel="0" collapsed="false">
      <c r="A8" s="15" t="s">
        <v>887</v>
      </c>
      <c r="B8" s="8" t="s">
        <v>132</v>
      </c>
      <c r="C8" s="15" t="s">
        <v>905</v>
      </c>
      <c r="D8" s="8" t="s">
        <v>857</v>
      </c>
      <c r="E8" s="8" t="s">
        <v>889</v>
      </c>
      <c r="F8" s="15" t="s">
        <v>906</v>
      </c>
      <c r="G8" s="8" t="s">
        <v>907</v>
      </c>
      <c r="H8" s="8" t="s">
        <v>892</v>
      </c>
      <c r="I8" s="8" t="s">
        <v>893</v>
      </c>
      <c r="J8" s="8" t="s">
        <v>894</v>
      </c>
      <c r="K8" s="8" t="s">
        <v>268</v>
      </c>
      <c r="L8" s="8" t="s">
        <v>908</v>
      </c>
      <c r="M8" s="8" t="s">
        <v>139</v>
      </c>
      <c r="N8" s="8" t="s">
        <v>225</v>
      </c>
      <c r="O8" s="8" t="s">
        <v>200</v>
      </c>
      <c r="P8" s="8" t="s">
        <v>173</v>
      </c>
      <c r="Q8" s="8" t="s">
        <v>909</v>
      </c>
      <c r="R8" s="8" t="s">
        <v>910</v>
      </c>
      <c r="S8" s="8" t="s">
        <v>175</v>
      </c>
      <c r="T8" s="8" t="s">
        <v>911</v>
      </c>
      <c r="U8" s="8" t="s">
        <v>341</v>
      </c>
      <c r="V8" s="8" t="s">
        <v>229</v>
      </c>
      <c r="W8" s="8" t="s">
        <v>874</v>
      </c>
      <c r="X8" s="8" t="s">
        <v>317</v>
      </c>
    </row>
    <row r="9" customFormat="false" ht="75" hidden="false" customHeight="true" outlineLevel="0" collapsed="false">
      <c r="A9" s="11" t="s">
        <v>912</v>
      </c>
      <c r="B9" s="7" t="s">
        <v>110</v>
      </c>
      <c r="C9" s="11" t="s">
        <v>913</v>
      </c>
      <c r="D9" s="7" t="s">
        <v>914</v>
      </c>
      <c r="E9" s="7" t="s">
        <v>915</v>
      </c>
      <c r="F9" s="11" t="s">
        <v>916</v>
      </c>
      <c r="G9" s="7" t="s">
        <v>917</v>
      </c>
      <c r="H9" s="7" t="s">
        <v>918</v>
      </c>
      <c r="I9" s="7" t="s">
        <v>919</v>
      </c>
      <c r="J9" s="7" t="s">
        <v>920</v>
      </c>
      <c r="K9" s="7" t="s">
        <v>921</v>
      </c>
      <c r="L9" s="7" t="s">
        <v>922</v>
      </c>
      <c r="M9" s="7" t="s">
        <v>239</v>
      </c>
      <c r="N9" s="7" t="s">
        <v>923</v>
      </c>
      <c r="O9" s="7" t="s">
        <v>160</v>
      </c>
      <c r="P9" s="7" t="s">
        <v>216</v>
      </c>
      <c r="Q9" s="7" t="s">
        <v>924</v>
      </c>
      <c r="R9" s="7" t="s">
        <v>925</v>
      </c>
      <c r="S9" s="7" t="s">
        <v>926</v>
      </c>
      <c r="T9" s="7" t="s">
        <v>927</v>
      </c>
      <c r="U9" s="7" t="s">
        <v>928</v>
      </c>
      <c r="V9" s="7" t="s">
        <v>929</v>
      </c>
      <c r="W9" s="7" t="s">
        <v>930</v>
      </c>
      <c r="X9" s="7" t="s">
        <v>931</v>
      </c>
    </row>
    <row r="10" customFormat="false" ht="87" hidden="false" customHeight="true" outlineLevel="0" collapsed="false">
      <c r="A10" s="15" t="s">
        <v>912</v>
      </c>
      <c r="B10" s="8" t="s">
        <v>132</v>
      </c>
      <c r="C10" s="15" t="s">
        <v>932</v>
      </c>
      <c r="D10" s="8" t="s">
        <v>914</v>
      </c>
      <c r="E10" s="8" t="s">
        <v>915</v>
      </c>
      <c r="F10" s="15" t="s">
        <v>933</v>
      </c>
      <c r="G10" s="8" t="s">
        <v>934</v>
      </c>
      <c r="H10" s="8" t="s">
        <v>918</v>
      </c>
      <c r="I10" s="8" t="s">
        <v>919</v>
      </c>
      <c r="J10" s="8" t="s">
        <v>920</v>
      </c>
      <c r="K10" s="8" t="s">
        <v>935</v>
      </c>
      <c r="L10" s="8" t="s">
        <v>936</v>
      </c>
      <c r="M10" s="8" t="s">
        <v>937</v>
      </c>
      <c r="N10" s="8" t="s">
        <v>938</v>
      </c>
      <c r="O10" s="8" t="s">
        <v>939</v>
      </c>
      <c r="P10" s="8" t="s">
        <v>940</v>
      </c>
      <c r="Q10" s="8" t="s">
        <v>941</v>
      </c>
      <c r="R10" s="8" t="s">
        <v>942</v>
      </c>
      <c r="S10" s="8" t="s">
        <v>256</v>
      </c>
      <c r="T10" s="8" t="s">
        <v>943</v>
      </c>
      <c r="U10" s="8" t="s">
        <v>341</v>
      </c>
      <c r="V10" s="8" t="s">
        <v>944</v>
      </c>
      <c r="W10" s="8" t="s">
        <v>930</v>
      </c>
      <c r="X10" s="8" t="s">
        <v>317</v>
      </c>
    </row>
    <row r="11" customFormat="false" ht="87" hidden="false" customHeight="true" outlineLevel="0" collapsed="false">
      <c r="A11" s="11" t="s">
        <v>945</v>
      </c>
      <c r="B11" s="7" t="s">
        <v>110</v>
      </c>
      <c r="C11" s="11" t="s">
        <v>946</v>
      </c>
      <c r="D11" s="7" t="s">
        <v>857</v>
      </c>
      <c r="E11" s="7" t="s">
        <v>947</v>
      </c>
      <c r="F11" s="11" t="s">
        <v>948</v>
      </c>
      <c r="G11" s="7" t="s">
        <v>949</v>
      </c>
      <c r="H11" s="7" t="s">
        <v>950</v>
      </c>
      <c r="I11" s="7" t="s">
        <v>951</v>
      </c>
      <c r="J11" s="7" t="s">
        <v>952</v>
      </c>
      <c r="K11" s="7" t="s">
        <v>953</v>
      </c>
      <c r="L11" s="7" t="s">
        <v>954</v>
      </c>
      <c r="M11" s="7" t="s">
        <v>239</v>
      </c>
      <c r="N11" s="7" t="s">
        <v>955</v>
      </c>
      <c r="O11" s="7" t="s">
        <v>160</v>
      </c>
      <c r="P11" s="7" t="s">
        <v>216</v>
      </c>
      <c r="Q11" s="7" t="s">
        <v>956</v>
      </c>
      <c r="R11" s="7" t="s">
        <v>957</v>
      </c>
      <c r="S11" s="7" t="s">
        <v>958</v>
      </c>
      <c r="T11" s="7" t="s">
        <v>959</v>
      </c>
      <c r="U11" s="7" t="s">
        <v>960</v>
      </c>
      <c r="V11" s="7" t="s">
        <v>961</v>
      </c>
      <c r="W11" s="7" t="s">
        <v>962</v>
      </c>
      <c r="X11" s="7" t="s">
        <v>963</v>
      </c>
    </row>
    <row r="12" customFormat="false" ht="87" hidden="false" customHeight="true" outlineLevel="0" collapsed="false">
      <c r="A12" s="15" t="s">
        <v>945</v>
      </c>
      <c r="B12" s="8" t="s">
        <v>132</v>
      </c>
      <c r="C12" s="15" t="s">
        <v>964</v>
      </c>
      <c r="D12" s="8" t="s">
        <v>857</v>
      </c>
      <c r="E12" s="8" t="s">
        <v>947</v>
      </c>
      <c r="F12" s="15" t="s">
        <v>965</v>
      </c>
      <c r="G12" s="8" t="s">
        <v>966</v>
      </c>
      <c r="H12" s="8" t="s">
        <v>950</v>
      </c>
      <c r="I12" s="8" t="s">
        <v>951</v>
      </c>
      <c r="J12" s="8" t="s">
        <v>952</v>
      </c>
      <c r="K12" s="8" t="s">
        <v>967</v>
      </c>
      <c r="L12" s="8" t="s">
        <v>968</v>
      </c>
      <c r="M12" s="8" t="s">
        <v>969</v>
      </c>
      <c r="N12" s="8" t="s">
        <v>970</v>
      </c>
      <c r="O12" s="8" t="s">
        <v>971</v>
      </c>
      <c r="P12" s="8" t="s">
        <v>972</v>
      </c>
      <c r="Q12" s="8" t="s">
        <v>366</v>
      </c>
      <c r="R12" s="8" t="s">
        <v>973</v>
      </c>
      <c r="S12" s="8" t="s">
        <v>256</v>
      </c>
      <c r="T12" s="8" t="s">
        <v>136</v>
      </c>
      <c r="U12" s="8" t="s">
        <v>341</v>
      </c>
      <c r="V12" s="8" t="s">
        <v>974</v>
      </c>
      <c r="W12" s="8" t="s">
        <v>962</v>
      </c>
      <c r="X12" s="8" t="s">
        <v>317</v>
      </c>
    </row>
    <row r="13" customFormat="false" ht="87" hidden="false" customHeight="true" outlineLevel="0" collapsed="false">
      <c r="A13" s="11" t="s">
        <v>975</v>
      </c>
      <c r="B13" s="7" t="s">
        <v>110</v>
      </c>
      <c r="C13" s="11" t="s">
        <v>976</v>
      </c>
      <c r="D13" s="7" t="s">
        <v>857</v>
      </c>
      <c r="E13" s="7" t="s">
        <v>977</v>
      </c>
      <c r="F13" s="11" t="s">
        <v>978</v>
      </c>
      <c r="G13" s="7" t="s">
        <v>979</v>
      </c>
      <c r="H13" s="7" t="s">
        <v>980</v>
      </c>
      <c r="I13" s="7" t="s">
        <v>981</v>
      </c>
      <c r="J13" s="7" t="s">
        <v>982</v>
      </c>
      <c r="K13" s="7" t="s">
        <v>983</v>
      </c>
      <c r="L13" s="7" t="s">
        <v>984</v>
      </c>
      <c r="M13" s="7" t="s">
        <v>239</v>
      </c>
      <c r="N13" s="7" t="s">
        <v>985</v>
      </c>
      <c r="O13" s="7" t="s">
        <v>160</v>
      </c>
      <c r="P13" s="7" t="s">
        <v>216</v>
      </c>
      <c r="Q13" s="7" t="s">
        <v>986</v>
      </c>
      <c r="R13" s="7" t="s">
        <v>987</v>
      </c>
      <c r="S13" s="7" t="s">
        <v>988</v>
      </c>
      <c r="T13" s="7" t="s">
        <v>989</v>
      </c>
      <c r="U13" s="7" t="s">
        <v>990</v>
      </c>
      <c r="V13" s="7" t="s">
        <v>991</v>
      </c>
      <c r="W13" s="7" t="s">
        <v>874</v>
      </c>
      <c r="X13" s="7" t="s">
        <v>992</v>
      </c>
    </row>
    <row r="14" customFormat="false" ht="75" hidden="false" customHeight="true" outlineLevel="0" collapsed="false">
      <c r="A14" s="15" t="s">
        <v>975</v>
      </c>
      <c r="B14" s="8" t="s">
        <v>132</v>
      </c>
      <c r="C14" s="15" t="s">
        <v>993</v>
      </c>
      <c r="D14" s="8" t="s">
        <v>857</v>
      </c>
      <c r="E14" s="8" t="s">
        <v>977</v>
      </c>
      <c r="F14" s="15" t="s">
        <v>994</v>
      </c>
      <c r="G14" s="8" t="s">
        <v>995</v>
      </c>
      <c r="H14" s="8" t="s">
        <v>980</v>
      </c>
      <c r="I14" s="8" t="s">
        <v>981</v>
      </c>
      <c r="J14" s="8" t="s">
        <v>982</v>
      </c>
      <c r="K14" s="8" t="s">
        <v>996</v>
      </c>
      <c r="L14" s="8" t="s">
        <v>997</v>
      </c>
      <c r="M14" s="8" t="s">
        <v>139</v>
      </c>
      <c r="N14" s="8" t="s">
        <v>998</v>
      </c>
      <c r="O14" s="8" t="s">
        <v>999</v>
      </c>
      <c r="P14" s="8" t="s">
        <v>1000</v>
      </c>
      <c r="Q14" s="8" t="s">
        <v>1001</v>
      </c>
      <c r="R14" s="8" t="s">
        <v>1002</v>
      </c>
      <c r="S14" s="8" t="s">
        <v>256</v>
      </c>
      <c r="T14" s="8" t="s">
        <v>136</v>
      </c>
      <c r="U14" s="8" t="s">
        <v>341</v>
      </c>
      <c r="V14" s="8" t="s">
        <v>229</v>
      </c>
      <c r="W14" s="8" t="s">
        <v>874</v>
      </c>
      <c r="X14" s="8" t="s">
        <v>317</v>
      </c>
    </row>
    <row r="15" customFormat="false" ht="75" hidden="false" customHeight="true" outlineLevel="0" collapsed="false">
      <c r="A15" s="11" t="s">
        <v>1003</v>
      </c>
      <c r="B15" s="7" t="s">
        <v>110</v>
      </c>
      <c r="C15" s="11" t="s">
        <v>1004</v>
      </c>
      <c r="D15" s="7" t="s">
        <v>857</v>
      </c>
      <c r="E15" s="7" t="s">
        <v>1005</v>
      </c>
      <c r="F15" s="11" t="s">
        <v>1006</v>
      </c>
      <c r="G15" s="7" t="s">
        <v>1007</v>
      </c>
      <c r="H15" s="7" t="s">
        <v>1008</v>
      </c>
      <c r="I15" s="7" t="s">
        <v>1009</v>
      </c>
      <c r="J15" s="7" t="s">
        <v>1010</v>
      </c>
      <c r="K15" s="7" t="s">
        <v>1011</v>
      </c>
      <c r="L15" s="7" t="s">
        <v>1012</v>
      </c>
      <c r="M15" s="7" t="s">
        <v>239</v>
      </c>
      <c r="N15" s="7" t="s">
        <v>1013</v>
      </c>
      <c r="O15" s="7" t="s">
        <v>160</v>
      </c>
      <c r="P15" s="7" t="s">
        <v>216</v>
      </c>
      <c r="Q15" s="7" t="s">
        <v>1014</v>
      </c>
      <c r="R15" s="7" t="s">
        <v>1015</v>
      </c>
      <c r="S15" s="7" t="s">
        <v>1016</v>
      </c>
      <c r="T15" s="7" t="s">
        <v>1017</v>
      </c>
      <c r="U15" s="7" t="s">
        <v>1018</v>
      </c>
      <c r="V15" s="7" t="s">
        <v>1019</v>
      </c>
      <c r="W15" s="7" t="s">
        <v>874</v>
      </c>
      <c r="X15" s="7" t="s">
        <v>221</v>
      </c>
    </row>
    <row r="16" customFormat="false" ht="75" hidden="false" customHeight="true" outlineLevel="0" collapsed="false">
      <c r="A16" s="15" t="s">
        <v>1003</v>
      </c>
      <c r="B16" s="8" t="s">
        <v>132</v>
      </c>
      <c r="C16" s="15" t="s">
        <v>1020</v>
      </c>
      <c r="D16" s="8" t="s">
        <v>857</v>
      </c>
      <c r="E16" s="8" t="s">
        <v>1005</v>
      </c>
      <c r="F16" s="15" t="s">
        <v>1021</v>
      </c>
      <c r="G16" s="8" t="s">
        <v>1022</v>
      </c>
      <c r="H16" s="8" t="s">
        <v>1008</v>
      </c>
      <c r="I16" s="8" t="s">
        <v>1009</v>
      </c>
      <c r="J16" s="8" t="s">
        <v>1010</v>
      </c>
      <c r="K16" s="8" t="s">
        <v>1023</v>
      </c>
      <c r="L16" s="8" t="s">
        <v>1024</v>
      </c>
      <c r="M16" s="8" t="s">
        <v>139</v>
      </c>
      <c r="N16" s="8" t="s">
        <v>1025</v>
      </c>
      <c r="O16" s="8" t="s">
        <v>1026</v>
      </c>
      <c r="P16" s="8" t="s">
        <v>1027</v>
      </c>
      <c r="Q16" s="8" t="s">
        <v>1028</v>
      </c>
      <c r="R16" s="8" t="s">
        <v>1029</v>
      </c>
      <c r="S16" s="8" t="s">
        <v>256</v>
      </c>
      <c r="T16" s="8" t="s">
        <v>136</v>
      </c>
      <c r="U16" s="8" t="s">
        <v>341</v>
      </c>
      <c r="V16" s="8" t="s">
        <v>229</v>
      </c>
      <c r="W16" s="8" t="s">
        <v>874</v>
      </c>
      <c r="X16" s="8" t="s">
        <v>221</v>
      </c>
    </row>
    <row r="17" customFormat="false" ht="75" hidden="false" customHeight="true" outlineLevel="0" collapsed="false">
      <c r="A17" s="11" t="s">
        <v>1030</v>
      </c>
      <c r="B17" s="7" t="s">
        <v>110</v>
      </c>
      <c r="C17" s="11" t="s">
        <v>1031</v>
      </c>
      <c r="D17" s="7" t="s">
        <v>857</v>
      </c>
      <c r="E17" s="7" t="s">
        <v>1032</v>
      </c>
      <c r="F17" s="11" t="s">
        <v>1033</v>
      </c>
      <c r="G17" s="7" t="s">
        <v>1034</v>
      </c>
      <c r="H17" s="7" t="s">
        <v>1035</v>
      </c>
      <c r="I17" s="7" t="s">
        <v>1036</v>
      </c>
      <c r="J17" s="7" t="s">
        <v>1037</v>
      </c>
      <c r="K17" s="7" t="s">
        <v>1038</v>
      </c>
      <c r="L17" s="7" t="s">
        <v>1039</v>
      </c>
      <c r="M17" s="7" t="s">
        <v>239</v>
      </c>
      <c r="N17" s="7" t="s">
        <v>1040</v>
      </c>
      <c r="O17" s="7" t="s">
        <v>160</v>
      </c>
      <c r="P17" s="7" t="s">
        <v>216</v>
      </c>
      <c r="Q17" s="7" t="s">
        <v>1041</v>
      </c>
      <c r="R17" s="7" t="s">
        <v>1042</v>
      </c>
      <c r="S17" s="7" t="s">
        <v>1043</v>
      </c>
      <c r="T17" s="7" t="s">
        <v>1044</v>
      </c>
      <c r="U17" s="7" t="s">
        <v>1045</v>
      </c>
      <c r="V17" s="7" t="s">
        <v>1046</v>
      </c>
      <c r="W17" s="7" t="s">
        <v>1047</v>
      </c>
      <c r="X17" s="7" t="s">
        <v>783</v>
      </c>
    </row>
    <row r="18" customFormat="false" ht="75" hidden="false" customHeight="true" outlineLevel="0" collapsed="false">
      <c r="A18" s="15" t="s">
        <v>1030</v>
      </c>
      <c r="B18" s="8" t="s">
        <v>132</v>
      </c>
      <c r="C18" s="15" t="s">
        <v>1048</v>
      </c>
      <c r="D18" s="8" t="s">
        <v>857</v>
      </c>
      <c r="E18" s="8" t="s">
        <v>1032</v>
      </c>
      <c r="F18" s="15" t="s">
        <v>1049</v>
      </c>
      <c r="G18" s="8" t="s">
        <v>1050</v>
      </c>
      <c r="H18" s="8" t="s">
        <v>1035</v>
      </c>
      <c r="I18" s="8" t="s">
        <v>1036</v>
      </c>
      <c r="J18" s="8" t="s">
        <v>1037</v>
      </c>
      <c r="K18" s="8" t="s">
        <v>1051</v>
      </c>
      <c r="L18" s="8" t="s">
        <v>1052</v>
      </c>
      <c r="M18" s="8" t="s">
        <v>139</v>
      </c>
      <c r="N18" s="8" t="s">
        <v>1053</v>
      </c>
      <c r="O18" s="8" t="s">
        <v>1054</v>
      </c>
      <c r="P18" s="8" t="s">
        <v>1055</v>
      </c>
      <c r="Q18" s="8" t="s">
        <v>1056</v>
      </c>
      <c r="R18" s="8" t="s">
        <v>1057</v>
      </c>
      <c r="S18" s="8" t="s">
        <v>1058</v>
      </c>
      <c r="T18" s="8" t="s">
        <v>136</v>
      </c>
      <c r="U18" s="8" t="s">
        <v>1059</v>
      </c>
      <c r="V18" s="8" t="s">
        <v>229</v>
      </c>
      <c r="W18" s="8" t="s">
        <v>1047</v>
      </c>
      <c r="X18" s="8" t="s">
        <v>221</v>
      </c>
    </row>
    <row r="19" customFormat="false" ht="75" hidden="false" customHeight="true" outlineLevel="0" collapsed="false">
      <c r="A19" s="11" t="s">
        <v>1060</v>
      </c>
      <c r="B19" s="7" t="s">
        <v>110</v>
      </c>
      <c r="C19" s="11" t="s">
        <v>1061</v>
      </c>
      <c r="D19" s="7" t="s">
        <v>1062</v>
      </c>
      <c r="E19" s="7" t="s">
        <v>1063</v>
      </c>
      <c r="F19" s="11" t="s">
        <v>1064</v>
      </c>
      <c r="G19" s="7" t="s">
        <v>1065</v>
      </c>
      <c r="H19" s="7" t="s">
        <v>1066</v>
      </c>
      <c r="I19" s="7" t="s">
        <v>1067</v>
      </c>
      <c r="J19" s="7" t="s">
        <v>1068</v>
      </c>
      <c r="K19" s="7" t="s">
        <v>1069</v>
      </c>
      <c r="L19" s="7" t="s">
        <v>1070</v>
      </c>
      <c r="M19" s="7" t="s">
        <v>239</v>
      </c>
      <c r="N19" s="7" t="s">
        <v>1071</v>
      </c>
      <c r="O19" s="7" t="s">
        <v>160</v>
      </c>
      <c r="P19" s="7" t="s">
        <v>216</v>
      </c>
      <c r="Q19" s="7" t="s">
        <v>1072</v>
      </c>
      <c r="R19" s="7" t="s">
        <v>1073</v>
      </c>
      <c r="S19" s="7" t="s">
        <v>1074</v>
      </c>
      <c r="T19" s="7" t="s">
        <v>1075</v>
      </c>
      <c r="U19" s="7" t="s">
        <v>1076</v>
      </c>
      <c r="V19" s="7" t="s">
        <v>229</v>
      </c>
      <c r="W19" s="7" t="s">
        <v>1047</v>
      </c>
      <c r="X19" s="7" t="s">
        <v>1077</v>
      </c>
    </row>
    <row r="20" customFormat="false" ht="75" hidden="false" customHeight="true" outlineLevel="0" collapsed="false">
      <c r="A20" s="15" t="s">
        <v>1060</v>
      </c>
      <c r="B20" s="8" t="s">
        <v>132</v>
      </c>
      <c r="C20" s="15" t="s">
        <v>1078</v>
      </c>
      <c r="D20" s="8" t="s">
        <v>1062</v>
      </c>
      <c r="E20" s="8" t="s">
        <v>1063</v>
      </c>
      <c r="F20" s="15" t="s">
        <v>1079</v>
      </c>
      <c r="G20" s="8" t="s">
        <v>1080</v>
      </c>
      <c r="H20" s="8" t="s">
        <v>1066</v>
      </c>
      <c r="I20" s="8" t="s">
        <v>1067</v>
      </c>
      <c r="J20" s="8" t="s">
        <v>1068</v>
      </c>
      <c r="K20" s="8" t="s">
        <v>1081</v>
      </c>
      <c r="L20" s="8" t="s">
        <v>1082</v>
      </c>
      <c r="M20" s="8" t="s">
        <v>139</v>
      </c>
      <c r="N20" s="8" t="s">
        <v>1083</v>
      </c>
      <c r="O20" s="8" t="s">
        <v>1084</v>
      </c>
      <c r="P20" s="8" t="s">
        <v>1085</v>
      </c>
      <c r="Q20" s="8" t="s">
        <v>1086</v>
      </c>
      <c r="R20" s="8" t="s">
        <v>1087</v>
      </c>
      <c r="S20" s="8" t="s">
        <v>256</v>
      </c>
      <c r="T20" s="8" t="s">
        <v>136</v>
      </c>
      <c r="U20" s="8" t="s">
        <v>341</v>
      </c>
      <c r="V20" s="8" t="s">
        <v>229</v>
      </c>
      <c r="W20" s="8" t="s">
        <v>1047</v>
      </c>
      <c r="X20" s="8" t="s">
        <v>317</v>
      </c>
    </row>
    <row r="21" customFormat="false" ht="75" hidden="false" customHeight="true" outlineLevel="0" collapsed="false">
      <c r="A21" s="11" t="s">
        <v>1088</v>
      </c>
      <c r="B21" s="7" t="s">
        <v>110</v>
      </c>
      <c r="C21" s="11" t="s">
        <v>1089</v>
      </c>
      <c r="D21" s="7" t="s">
        <v>914</v>
      </c>
      <c r="E21" s="7" t="s">
        <v>1090</v>
      </c>
      <c r="F21" s="11" t="s">
        <v>1091</v>
      </c>
      <c r="G21" s="7" t="s">
        <v>1092</v>
      </c>
      <c r="H21" s="7" t="s">
        <v>1093</v>
      </c>
      <c r="I21" s="7" t="s">
        <v>1094</v>
      </c>
      <c r="J21" s="7" t="s">
        <v>1095</v>
      </c>
      <c r="K21" s="7" t="s">
        <v>1096</v>
      </c>
      <c r="L21" s="7" t="s">
        <v>1097</v>
      </c>
      <c r="M21" s="7" t="s">
        <v>239</v>
      </c>
      <c r="N21" s="7" t="s">
        <v>1098</v>
      </c>
      <c r="O21" s="7" t="s">
        <v>160</v>
      </c>
      <c r="P21" s="7" t="s">
        <v>216</v>
      </c>
      <c r="Q21" s="7" t="s">
        <v>1099</v>
      </c>
      <c r="R21" s="7" t="s">
        <v>1100</v>
      </c>
      <c r="S21" s="7" t="s">
        <v>1101</v>
      </c>
      <c r="T21" s="7" t="s">
        <v>1102</v>
      </c>
      <c r="U21" s="7" t="s">
        <v>1103</v>
      </c>
      <c r="V21" s="7" t="s">
        <v>1104</v>
      </c>
      <c r="W21" s="7" t="s">
        <v>1105</v>
      </c>
      <c r="X21" s="7" t="s">
        <v>1106</v>
      </c>
    </row>
    <row r="22" customFormat="false" ht="75" hidden="false" customHeight="true" outlineLevel="0" collapsed="false">
      <c r="A22" s="15" t="s">
        <v>1088</v>
      </c>
      <c r="B22" s="8" t="s">
        <v>132</v>
      </c>
      <c r="C22" s="15" t="s">
        <v>1107</v>
      </c>
      <c r="D22" s="8" t="s">
        <v>914</v>
      </c>
      <c r="E22" s="8" t="s">
        <v>1090</v>
      </c>
      <c r="F22" s="15" t="s">
        <v>1108</v>
      </c>
      <c r="G22" s="8" t="s">
        <v>1109</v>
      </c>
      <c r="H22" s="8" t="s">
        <v>1093</v>
      </c>
      <c r="I22" s="8" t="s">
        <v>1094</v>
      </c>
      <c r="J22" s="8" t="s">
        <v>1095</v>
      </c>
      <c r="K22" s="8" t="s">
        <v>1110</v>
      </c>
      <c r="L22" s="8" t="s">
        <v>1111</v>
      </c>
      <c r="M22" s="8" t="s">
        <v>139</v>
      </c>
      <c r="N22" s="8" t="s">
        <v>588</v>
      </c>
      <c r="O22" s="8" t="s">
        <v>589</v>
      </c>
      <c r="P22" s="8" t="s">
        <v>590</v>
      </c>
      <c r="Q22" s="8" t="s">
        <v>1112</v>
      </c>
      <c r="R22" s="8" t="s">
        <v>1113</v>
      </c>
      <c r="S22" s="8" t="s">
        <v>256</v>
      </c>
      <c r="T22" s="8" t="s">
        <v>136</v>
      </c>
      <c r="U22" s="8" t="s">
        <v>341</v>
      </c>
      <c r="V22" s="8" t="s">
        <v>1114</v>
      </c>
      <c r="W22" s="8" t="s">
        <v>1105</v>
      </c>
      <c r="X22" s="8" t="s">
        <v>317</v>
      </c>
    </row>
    <row r="23" customFormat="false" ht="87" hidden="false" customHeight="true" outlineLevel="0" collapsed="false">
      <c r="A23" s="11" t="s">
        <v>1115</v>
      </c>
      <c r="B23" s="7" t="s">
        <v>110</v>
      </c>
      <c r="C23" s="11" t="s">
        <v>1116</v>
      </c>
      <c r="D23" s="7" t="s">
        <v>857</v>
      </c>
      <c r="E23" s="7" t="s">
        <v>1117</v>
      </c>
      <c r="F23" s="11" t="s">
        <v>1118</v>
      </c>
      <c r="G23" s="7" t="s">
        <v>1119</v>
      </c>
      <c r="H23" s="7" t="s">
        <v>1120</v>
      </c>
      <c r="I23" s="7" t="s">
        <v>1121</v>
      </c>
      <c r="J23" s="7" t="s">
        <v>1122</v>
      </c>
      <c r="K23" s="7" t="s">
        <v>1123</v>
      </c>
      <c r="L23" s="7" t="s">
        <v>1124</v>
      </c>
      <c r="M23" s="7" t="s">
        <v>239</v>
      </c>
      <c r="N23" s="7" t="s">
        <v>1125</v>
      </c>
      <c r="O23" s="7" t="s">
        <v>160</v>
      </c>
      <c r="P23" s="7" t="s">
        <v>216</v>
      </c>
      <c r="Q23" s="7" t="s">
        <v>1126</v>
      </c>
      <c r="R23" s="7" t="s">
        <v>1127</v>
      </c>
      <c r="S23" s="7" t="s">
        <v>1128</v>
      </c>
      <c r="T23" s="7" t="s">
        <v>1129</v>
      </c>
      <c r="U23" s="7" t="s">
        <v>1130</v>
      </c>
      <c r="V23" s="7" t="s">
        <v>1131</v>
      </c>
      <c r="W23" s="7" t="s">
        <v>1132</v>
      </c>
      <c r="X23" s="7" t="s">
        <v>1133</v>
      </c>
    </row>
    <row r="24" customFormat="false" ht="87" hidden="false" customHeight="true" outlineLevel="0" collapsed="false">
      <c r="A24" s="15" t="s">
        <v>1115</v>
      </c>
      <c r="B24" s="8" t="s">
        <v>132</v>
      </c>
      <c r="C24" s="15" t="s">
        <v>1134</v>
      </c>
      <c r="D24" s="8" t="s">
        <v>857</v>
      </c>
      <c r="E24" s="8" t="s">
        <v>1117</v>
      </c>
      <c r="F24" s="15" t="s">
        <v>1135</v>
      </c>
      <c r="G24" s="8" t="s">
        <v>1136</v>
      </c>
      <c r="H24" s="8" t="s">
        <v>1120</v>
      </c>
      <c r="I24" s="8" t="s">
        <v>1121</v>
      </c>
      <c r="J24" s="8" t="s">
        <v>1122</v>
      </c>
      <c r="K24" s="8" t="s">
        <v>1137</v>
      </c>
      <c r="L24" s="8" t="s">
        <v>1138</v>
      </c>
      <c r="M24" s="8" t="s">
        <v>139</v>
      </c>
      <c r="N24" s="8" t="s">
        <v>716</v>
      </c>
      <c r="O24" s="8" t="s">
        <v>1139</v>
      </c>
      <c r="P24" s="8" t="s">
        <v>718</v>
      </c>
      <c r="Q24" s="8" t="s">
        <v>1140</v>
      </c>
      <c r="R24" s="8" t="s">
        <v>1141</v>
      </c>
      <c r="S24" s="8" t="s">
        <v>256</v>
      </c>
      <c r="T24" s="8" t="s">
        <v>136</v>
      </c>
      <c r="U24" s="8" t="s">
        <v>341</v>
      </c>
      <c r="V24" s="8" t="s">
        <v>229</v>
      </c>
      <c r="W24" s="8" t="s">
        <v>1132</v>
      </c>
      <c r="X24" s="8" t="s">
        <v>496</v>
      </c>
    </row>
    <row r="25" customFormat="false" ht="62.25" hidden="false" customHeight="true" outlineLevel="0" collapsed="false">
      <c r="A25" s="11" t="s">
        <v>1142</v>
      </c>
      <c r="B25" s="7" t="s">
        <v>110</v>
      </c>
      <c r="C25" s="11" t="s">
        <v>1143</v>
      </c>
      <c r="D25" s="7" t="s">
        <v>1144</v>
      </c>
      <c r="E25" s="7" t="s">
        <v>1145</v>
      </c>
      <c r="F25" s="11" t="s">
        <v>1146</v>
      </c>
      <c r="G25" s="7" t="s">
        <v>1147</v>
      </c>
      <c r="H25" s="7" t="s">
        <v>1148</v>
      </c>
      <c r="I25" s="7" t="s">
        <v>1149</v>
      </c>
      <c r="J25" s="7" t="s">
        <v>1150</v>
      </c>
      <c r="K25" s="7" t="s">
        <v>1151</v>
      </c>
      <c r="L25" s="7" t="s">
        <v>1152</v>
      </c>
      <c r="M25" s="7" t="s">
        <v>239</v>
      </c>
      <c r="N25" s="7" t="s">
        <v>1153</v>
      </c>
      <c r="O25" s="7" t="s">
        <v>160</v>
      </c>
      <c r="P25" s="7" t="s">
        <v>216</v>
      </c>
      <c r="Q25" s="7" t="s">
        <v>1154</v>
      </c>
      <c r="R25" s="7" t="s">
        <v>1155</v>
      </c>
      <c r="S25" s="7" t="s">
        <v>1156</v>
      </c>
      <c r="T25" s="7" t="s">
        <v>1157</v>
      </c>
      <c r="U25" s="7" t="s">
        <v>1158</v>
      </c>
      <c r="V25" s="7" t="s">
        <v>1159</v>
      </c>
      <c r="W25" s="7" t="s">
        <v>1160</v>
      </c>
      <c r="X25" s="7" t="s">
        <v>131</v>
      </c>
    </row>
    <row r="26" customFormat="false" ht="75" hidden="false" customHeight="true" outlineLevel="0" collapsed="false">
      <c r="A26" s="15" t="s">
        <v>1142</v>
      </c>
      <c r="B26" s="8" t="s">
        <v>132</v>
      </c>
      <c r="C26" s="15" t="s">
        <v>1161</v>
      </c>
      <c r="D26" s="8" t="s">
        <v>1144</v>
      </c>
      <c r="E26" s="8" t="s">
        <v>1145</v>
      </c>
      <c r="F26" s="15" t="s">
        <v>1162</v>
      </c>
      <c r="G26" s="8" t="s">
        <v>1163</v>
      </c>
      <c r="H26" s="8" t="s">
        <v>1148</v>
      </c>
      <c r="I26" s="8" t="s">
        <v>1149</v>
      </c>
      <c r="J26" s="8" t="s">
        <v>1150</v>
      </c>
      <c r="K26" s="8" t="s">
        <v>1164</v>
      </c>
      <c r="L26" s="8" t="s">
        <v>1165</v>
      </c>
      <c r="M26" s="8" t="s">
        <v>139</v>
      </c>
      <c r="N26" s="8" t="s">
        <v>537</v>
      </c>
      <c r="O26" s="8" t="s">
        <v>538</v>
      </c>
      <c r="P26" s="8" t="s">
        <v>539</v>
      </c>
      <c r="Q26" s="8" t="s">
        <v>1166</v>
      </c>
      <c r="R26" s="8" t="s">
        <v>1167</v>
      </c>
      <c r="S26" s="8" t="s">
        <v>256</v>
      </c>
      <c r="T26" s="8" t="s">
        <v>136</v>
      </c>
      <c r="U26" s="8" t="s">
        <v>341</v>
      </c>
      <c r="V26" s="8" t="s">
        <v>1168</v>
      </c>
      <c r="W26" s="8" t="s">
        <v>1160</v>
      </c>
      <c r="X26" s="8" t="s">
        <v>317</v>
      </c>
    </row>
    <row r="27" customFormat="false" ht="62.25" hidden="false" customHeight="true" outlineLevel="0" collapsed="false">
      <c r="A27" s="11" t="s">
        <v>1169</v>
      </c>
      <c r="B27" s="7" t="s">
        <v>110</v>
      </c>
      <c r="C27" s="11" t="s">
        <v>1170</v>
      </c>
      <c r="D27" s="7" t="s">
        <v>1171</v>
      </c>
      <c r="E27" s="7" t="s">
        <v>858</v>
      </c>
      <c r="F27" s="11" t="s">
        <v>1172</v>
      </c>
      <c r="G27" s="7" t="s">
        <v>1173</v>
      </c>
      <c r="H27" s="7" t="s">
        <v>1174</v>
      </c>
      <c r="I27" s="7" t="s">
        <v>1175</v>
      </c>
      <c r="J27" s="7" t="s">
        <v>1176</v>
      </c>
      <c r="K27" s="7" t="s">
        <v>1177</v>
      </c>
      <c r="L27" s="7" t="s">
        <v>1178</v>
      </c>
      <c r="M27" s="7" t="s">
        <v>239</v>
      </c>
      <c r="N27" s="7" t="s">
        <v>1179</v>
      </c>
      <c r="O27" s="7" t="s">
        <v>160</v>
      </c>
      <c r="P27" s="7" t="s">
        <v>216</v>
      </c>
      <c r="Q27" s="7" t="s">
        <v>1180</v>
      </c>
      <c r="R27" s="7" t="s">
        <v>1181</v>
      </c>
      <c r="S27" s="7" t="s">
        <v>1182</v>
      </c>
      <c r="T27" s="7" t="s">
        <v>1183</v>
      </c>
      <c r="U27" s="7" t="s">
        <v>1184</v>
      </c>
      <c r="V27" s="7" t="s">
        <v>1185</v>
      </c>
      <c r="W27" s="7" t="s">
        <v>1186</v>
      </c>
      <c r="X27" s="7" t="s">
        <v>221</v>
      </c>
    </row>
    <row r="28" customFormat="false" ht="75" hidden="false" customHeight="true" outlineLevel="0" collapsed="false">
      <c r="A28" s="15" t="s">
        <v>1169</v>
      </c>
      <c r="B28" s="8" t="s">
        <v>132</v>
      </c>
      <c r="C28" s="15" t="s">
        <v>1187</v>
      </c>
      <c r="D28" s="8" t="s">
        <v>1171</v>
      </c>
      <c r="E28" s="8" t="s">
        <v>858</v>
      </c>
      <c r="F28" s="15" t="s">
        <v>1188</v>
      </c>
      <c r="G28" s="8" t="s">
        <v>1189</v>
      </c>
      <c r="H28" s="8" t="s">
        <v>1174</v>
      </c>
      <c r="I28" s="8" t="s">
        <v>1175</v>
      </c>
      <c r="J28" s="8" t="s">
        <v>1176</v>
      </c>
      <c r="K28" s="8" t="s">
        <v>1190</v>
      </c>
      <c r="L28" s="8" t="s">
        <v>1191</v>
      </c>
      <c r="M28" s="8" t="s">
        <v>139</v>
      </c>
      <c r="N28" s="8" t="s">
        <v>225</v>
      </c>
      <c r="O28" s="8" t="s">
        <v>1192</v>
      </c>
      <c r="P28" s="8" t="s">
        <v>173</v>
      </c>
      <c r="Q28" s="8" t="s">
        <v>1193</v>
      </c>
      <c r="R28" s="8" t="s">
        <v>1194</v>
      </c>
      <c r="S28" s="8" t="s">
        <v>256</v>
      </c>
      <c r="T28" s="8" t="s">
        <v>136</v>
      </c>
      <c r="U28" s="8" t="s">
        <v>1195</v>
      </c>
      <c r="V28" s="8" t="s">
        <v>1196</v>
      </c>
      <c r="W28" s="8" t="s">
        <v>1186</v>
      </c>
      <c r="X28" s="8" t="s">
        <v>221</v>
      </c>
    </row>
    <row r="29" customFormat="false" ht="62.25" hidden="false" customHeight="true" outlineLevel="0" collapsed="false">
      <c r="A29" s="11" t="s">
        <v>1197</v>
      </c>
      <c r="B29" s="7" t="s">
        <v>110</v>
      </c>
      <c r="C29" s="11" t="s">
        <v>1198</v>
      </c>
      <c r="D29" s="7" t="s">
        <v>1199</v>
      </c>
      <c r="E29" s="7" t="s">
        <v>1200</v>
      </c>
      <c r="F29" s="11" t="s">
        <v>1201</v>
      </c>
      <c r="G29" s="7" t="s">
        <v>1202</v>
      </c>
      <c r="H29" s="7" t="s">
        <v>1203</v>
      </c>
      <c r="I29" s="7" t="s">
        <v>1204</v>
      </c>
      <c r="J29" s="7" t="s">
        <v>1205</v>
      </c>
      <c r="K29" s="7" t="s">
        <v>1206</v>
      </c>
      <c r="L29" s="7" t="s">
        <v>1207</v>
      </c>
      <c r="M29" s="7" t="s">
        <v>239</v>
      </c>
      <c r="N29" s="7" t="s">
        <v>1208</v>
      </c>
      <c r="O29" s="7" t="s">
        <v>160</v>
      </c>
      <c r="P29" s="7" t="s">
        <v>216</v>
      </c>
      <c r="Q29" s="7" t="s">
        <v>1209</v>
      </c>
      <c r="R29" s="7" t="s">
        <v>1210</v>
      </c>
      <c r="S29" s="7" t="s">
        <v>1211</v>
      </c>
      <c r="T29" s="7" t="s">
        <v>1212</v>
      </c>
      <c r="U29" s="7" t="s">
        <v>1213</v>
      </c>
      <c r="V29" s="7" t="s">
        <v>1214</v>
      </c>
      <c r="W29" s="7" t="s">
        <v>1215</v>
      </c>
      <c r="X29" s="7" t="s">
        <v>221</v>
      </c>
    </row>
    <row r="30" customFormat="false" ht="75" hidden="false" customHeight="true" outlineLevel="0" collapsed="false">
      <c r="A30" s="15" t="s">
        <v>1197</v>
      </c>
      <c r="B30" s="8" t="s">
        <v>132</v>
      </c>
      <c r="C30" s="15" t="s">
        <v>1216</v>
      </c>
      <c r="D30" s="8" t="s">
        <v>1199</v>
      </c>
      <c r="E30" s="8" t="s">
        <v>1200</v>
      </c>
      <c r="F30" s="15" t="s">
        <v>1217</v>
      </c>
      <c r="G30" s="8" t="s">
        <v>1218</v>
      </c>
      <c r="H30" s="8" t="s">
        <v>1203</v>
      </c>
      <c r="I30" s="8" t="s">
        <v>1204</v>
      </c>
      <c r="J30" s="8" t="s">
        <v>1205</v>
      </c>
      <c r="K30" s="8" t="s">
        <v>1219</v>
      </c>
      <c r="L30" s="8" t="s">
        <v>1220</v>
      </c>
      <c r="M30" s="8" t="s">
        <v>139</v>
      </c>
      <c r="N30" s="8" t="s">
        <v>1221</v>
      </c>
      <c r="O30" s="8" t="s">
        <v>1222</v>
      </c>
      <c r="P30" s="8" t="s">
        <v>1223</v>
      </c>
      <c r="Q30" s="8" t="s">
        <v>1224</v>
      </c>
      <c r="R30" s="8" t="s">
        <v>1225</v>
      </c>
      <c r="S30" s="8" t="s">
        <v>1226</v>
      </c>
      <c r="T30" s="8" t="s">
        <v>136</v>
      </c>
      <c r="U30" s="8" t="s">
        <v>341</v>
      </c>
      <c r="V30" s="8" t="s">
        <v>229</v>
      </c>
      <c r="W30" s="8" t="s">
        <v>1215</v>
      </c>
      <c r="X30" s="8" t="s">
        <v>221</v>
      </c>
    </row>
    <row r="31" customFormat="false" ht="75" hidden="false" customHeight="true" outlineLevel="0" collapsed="false">
      <c r="A31" s="11" t="s">
        <v>1227</v>
      </c>
      <c r="B31" s="7" t="s">
        <v>110</v>
      </c>
      <c r="C31" s="11" t="s">
        <v>1228</v>
      </c>
      <c r="D31" s="7" t="s">
        <v>1229</v>
      </c>
      <c r="E31" s="7" t="s">
        <v>1230</v>
      </c>
      <c r="F31" s="11" t="s">
        <v>1231</v>
      </c>
      <c r="G31" s="7" t="s">
        <v>1232</v>
      </c>
      <c r="H31" s="7" t="s">
        <v>1233</v>
      </c>
      <c r="I31" s="7" t="s">
        <v>1234</v>
      </c>
      <c r="J31" s="7" t="s">
        <v>1235</v>
      </c>
      <c r="K31" s="7" t="s">
        <v>1236</v>
      </c>
      <c r="L31" s="7" t="s">
        <v>1237</v>
      </c>
      <c r="M31" s="7" t="s">
        <v>1238</v>
      </c>
      <c r="N31" s="7" t="s">
        <v>1239</v>
      </c>
      <c r="O31" s="7" t="s">
        <v>160</v>
      </c>
      <c r="P31" s="7" t="s">
        <v>216</v>
      </c>
      <c r="Q31" s="7" t="s">
        <v>1240</v>
      </c>
      <c r="R31" s="7" t="s">
        <v>1241</v>
      </c>
      <c r="S31" s="7" t="s">
        <v>1242</v>
      </c>
      <c r="T31" s="7" t="s">
        <v>1243</v>
      </c>
      <c r="U31" s="7" t="s">
        <v>1244</v>
      </c>
      <c r="V31" s="7" t="s">
        <v>1245</v>
      </c>
      <c r="W31" s="7" t="s">
        <v>1246</v>
      </c>
      <c r="X31" s="7" t="s">
        <v>221</v>
      </c>
    </row>
    <row r="32" customFormat="false" ht="75" hidden="false" customHeight="true" outlineLevel="0" collapsed="false">
      <c r="A32" s="15" t="s">
        <v>1227</v>
      </c>
      <c r="B32" s="8" t="s">
        <v>132</v>
      </c>
      <c r="C32" s="15" t="s">
        <v>1247</v>
      </c>
      <c r="D32" s="8" t="s">
        <v>1229</v>
      </c>
      <c r="E32" s="8" t="s">
        <v>1230</v>
      </c>
      <c r="F32" s="15" t="s">
        <v>1248</v>
      </c>
      <c r="G32" s="8" t="s">
        <v>1249</v>
      </c>
      <c r="H32" s="8" t="s">
        <v>1233</v>
      </c>
      <c r="I32" s="8" t="s">
        <v>1234</v>
      </c>
      <c r="J32" s="8" t="s">
        <v>1235</v>
      </c>
      <c r="K32" s="8" t="s">
        <v>1250</v>
      </c>
      <c r="L32" s="8" t="s">
        <v>1251</v>
      </c>
      <c r="M32" s="8" t="s">
        <v>139</v>
      </c>
      <c r="N32" s="8" t="s">
        <v>1252</v>
      </c>
      <c r="O32" s="8" t="s">
        <v>1253</v>
      </c>
      <c r="P32" s="8" t="s">
        <v>1254</v>
      </c>
      <c r="Q32" s="8" t="s">
        <v>1255</v>
      </c>
      <c r="R32" s="8" t="s">
        <v>1256</v>
      </c>
      <c r="S32" s="8" t="s">
        <v>256</v>
      </c>
      <c r="T32" s="8" t="s">
        <v>136</v>
      </c>
      <c r="U32" s="8" t="s">
        <v>341</v>
      </c>
      <c r="V32" s="8" t="s">
        <v>229</v>
      </c>
      <c r="W32" s="8" t="s">
        <v>1246</v>
      </c>
      <c r="X32" s="8" t="s">
        <v>221</v>
      </c>
    </row>
    <row r="33" customFormat="false" ht="62.25" hidden="false" customHeight="true" outlineLevel="0" collapsed="false">
      <c r="A33" s="11" t="s">
        <v>1257</v>
      </c>
      <c r="B33" s="7" t="s">
        <v>110</v>
      </c>
      <c r="C33" s="11" t="s">
        <v>1258</v>
      </c>
      <c r="D33" s="7" t="s">
        <v>1259</v>
      </c>
      <c r="E33" s="7" t="s">
        <v>1260</v>
      </c>
      <c r="F33" s="11" t="s">
        <v>1261</v>
      </c>
      <c r="G33" s="7" t="s">
        <v>1262</v>
      </c>
      <c r="H33" s="7" t="s">
        <v>1263</v>
      </c>
      <c r="I33" s="7" t="s">
        <v>1264</v>
      </c>
      <c r="J33" s="7" t="s">
        <v>1265</v>
      </c>
      <c r="K33" s="7" t="s">
        <v>1266</v>
      </c>
      <c r="L33" s="7" t="s">
        <v>1267</v>
      </c>
      <c r="M33" s="7" t="s">
        <v>239</v>
      </c>
      <c r="N33" s="7" t="s">
        <v>1268</v>
      </c>
      <c r="O33" s="7" t="s">
        <v>160</v>
      </c>
      <c r="P33" s="7" t="s">
        <v>216</v>
      </c>
      <c r="Q33" s="7" t="s">
        <v>1269</v>
      </c>
      <c r="R33" s="7" t="s">
        <v>1270</v>
      </c>
      <c r="S33" s="7" t="s">
        <v>1271</v>
      </c>
      <c r="T33" s="7" t="s">
        <v>1272</v>
      </c>
      <c r="U33" s="7" t="s">
        <v>1273</v>
      </c>
      <c r="V33" s="7" t="s">
        <v>1274</v>
      </c>
      <c r="W33" s="7" t="s">
        <v>1275</v>
      </c>
      <c r="X33" s="7" t="s">
        <v>221</v>
      </c>
    </row>
    <row r="34" customFormat="false" ht="75" hidden="false" customHeight="true" outlineLevel="0" collapsed="false">
      <c r="A34" s="15" t="s">
        <v>1257</v>
      </c>
      <c r="B34" s="8" t="s">
        <v>132</v>
      </c>
      <c r="C34" s="15" t="s">
        <v>1276</v>
      </c>
      <c r="D34" s="8" t="s">
        <v>1259</v>
      </c>
      <c r="E34" s="8" t="s">
        <v>1260</v>
      </c>
      <c r="F34" s="15" t="s">
        <v>1277</v>
      </c>
      <c r="G34" s="8" t="s">
        <v>1278</v>
      </c>
      <c r="H34" s="8" t="s">
        <v>1263</v>
      </c>
      <c r="I34" s="8" t="s">
        <v>1264</v>
      </c>
      <c r="J34" s="8" t="s">
        <v>1265</v>
      </c>
      <c r="K34" s="8" t="s">
        <v>1279</v>
      </c>
      <c r="L34" s="8" t="s">
        <v>968</v>
      </c>
      <c r="M34" s="8" t="s">
        <v>969</v>
      </c>
      <c r="N34" s="8" t="s">
        <v>1280</v>
      </c>
      <c r="O34" s="8" t="s">
        <v>1281</v>
      </c>
      <c r="P34" s="8" t="s">
        <v>1027</v>
      </c>
      <c r="Q34" s="8" t="s">
        <v>366</v>
      </c>
      <c r="R34" s="8" t="s">
        <v>1282</v>
      </c>
      <c r="S34" s="8" t="s">
        <v>256</v>
      </c>
      <c r="T34" s="8" t="s">
        <v>136</v>
      </c>
      <c r="U34" s="8" t="s">
        <v>341</v>
      </c>
      <c r="V34" s="8" t="s">
        <v>1283</v>
      </c>
      <c r="W34" s="8" t="s">
        <v>1275</v>
      </c>
      <c r="X34" s="8" t="s">
        <v>221</v>
      </c>
    </row>
    <row r="35" customFormat="false" ht="75" hidden="false" customHeight="true" outlineLevel="0" collapsed="false">
      <c r="A35" s="11" t="s">
        <v>1284</v>
      </c>
      <c r="B35" s="7" t="s">
        <v>110</v>
      </c>
      <c r="C35" s="11" t="s">
        <v>1285</v>
      </c>
      <c r="D35" s="7" t="s">
        <v>1286</v>
      </c>
      <c r="E35" s="7" t="s">
        <v>1287</v>
      </c>
      <c r="F35" s="11" t="s">
        <v>1288</v>
      </c>
      <c r="G35" s="7" t="s">
        <v>1289</v>
      </c>
      <c r="H35" s="7" t="s">
        <v>1290</v>
      </c>
      <c r="I35" s="7" t="s">
        <v>1291</v>
      </c>
      <c r="J35" s="7" t="s">
        <v>1292</v>
      </c>
      <c r="K35" s="7" t="s">
        <v>1293</v>
      </c>
      <c r="L35" s="7" t="s">
        <v>1294</v>
      </c>
      <c r="M35" s="7" t="s">
        <v>239</v>
      </c>
      <c r="N35" s="7" t="s">
        <v>1295</v>
      </c>
      <c r="O35" s="7" t="s">
        <v>160</v>
      </c>
      <c r="P35" s="7" t="s">
        <v>216</v>
      </c>
      <c r="Q35" s="7" t="s">
        <v>1296</v>
      </c>
      <c r="R35" s="7" t="s">
        <v>1297</v>
      </c>
      <c r="S35" s="7" t="s">
        <v>1298</v>
      </c>
      <c r="T35" s="7" t="s">
        <v>1299</v>
      </c>
      <c r="U35" s="7" t="s">
        <v>1300</v>
      </c>
      <c r="V35" s="7" t="s">
        <v>1301</v>
      </c>
      <c r="W35" s="7" t="s">
        <v>1302</v>
      </c>
      <c r="X35" s="7" t="s">
        <v>1303</v>
      </c>
    </row>
    <row r="36" customFormat="false" ht="62.25" hidden="false" customHeight="true" outlineLevel="0" collapsed="false">
      <c r="A36" s="15" t="s">
        <v>1284</v>
      </c>
      <c r="B36" s="8" t="s">
        <v>132</v>
      </c>
      <c r="C36" s="15" t="s">
        <v>1304</v>
      </c>
      <c r="D36" s="8" t="s">
        <v>1286</v>
      </c>
      <c r="E36" s="8" t="s">
        <v>1287</v>
      </c>
      <c r="F36" s="15" t="s">
        <v>1305</v>
      </c>
      <c r="G36" s="8" t="s">
        <v>1306</v>
      </c>
      <c r="H36" s="8" t="s">
        <v>1290</v>
      </c>
      <c r="I36" s="8" t="s">
        <v>1291</v>
      </c>
      <c r="J36" s="8" t="s">
        <v>1292</v>
      </c>
      <c r="K36" s="8" t="s">
        <v>1307</v>
      </c>
      <c r="L36" s="8" t="s">
        <v>1308</v>
      </c>
      <c r="M36" s="8" t="s">
        <v>1309</v>
      </c>
      <c r="N36" s="8" t="s">
        <v>1310</v>
      </c>
      <c r="O36" s="8" t="s">
        <v>1311</v>
      </c>
      <c r="P36" s="8" t="s">
        <v>1311</v>
      </c>
      <c r="Q36" s="8" t="s">
        <v>136</v>
      </c>
      <c r="R36" s="8" t="s">
        <v>1312</v>
      </c>
      <c r="S36" s="8" t="s">
        <v>136</v>
      </c>
      <c r="T36" s="8" t="s">
        <v>136</v>
      </c>
      <c r="U36" s="8" t="s">
        <v>1313</v>
      </c>
      <c r="V36" s="8" t="s">
        <v>136</v>
      </c>
      <c r="W36" s="8" t="s">
        <v>1302</v>
      </c>
      <c r="X36" s="8" t="s">
        <v>221</v>
      </c>
    </row>
    <row r="37" customFormat="false" ht="62.25" hidden="false" customHeight="true" outlineLevel="0" collapsed="false">
      <c r="A37" s="11" t="s">
        <v>1314</v>
      </c>
      <c r="B37" s="7" t="s">
        <v>110</v>
      </c>
      <c r="C37" s="11" t="s">
        <v>1315</v>
      </c>
      <c r="D37" s="7" t="s">
        <v>1199</v>
      </c>
      <c r="E37" s="7" t="s">
        <v>1316</v>
      </c>
      <c r="F37" s="11" t="s">
        <v>1317</v>
      </c>
      <c r="G37" s="7" t="s">
        <v>1318</v>
      </c>
      <c r="H37" s="7" t="s">
        <v>1319</v>
      </c>
      <c r="I37" s="7" t="s">
        <v>1320</v>
      </c>
      <c r="J37" s="7" t="s">
        <v>1321</v>
      </c>
      <c r="K37" s="7" t="s">
        <v>1322</v>
      </c>
      <c r="L37" s="7" t="s">
        <v>800</v>
      </c>
      <c r="M37" s="7" t="s">
        <v>1323</v>
      </c>
      <c r="N37" s="7" t="s">
        <v>1324</v>
      </c>
      <c r="O37" s="7" t="s">
        <v>160</v>
      </c>
      <c r="P37" s="7" t="s">
        <v>216</v>
      </c>
      <c r="Q37" s="7" t="s">
        <v>1325</v>
      </c>
      <c r="R37" s="7" t="s">
        <v>1326</v>
      </c>
      <c r="S37" s="7" t="s">
        <v>1327</v>
      </c>
      <c r="T37" s="7" t="s">
        <v>1328</v>
      </c>
      <c r="U37" s="7" t="s">
        <v>806</v>
      </c>
      <c r="V37" s="7" t="s">
        <v>1329</v>
      </c>
      <c r="W37" s="7" t="s">
        <v>1047</v>
      </c>
      <c r="X37" s="7" t="s">
        <v>496</v>
      </c>
    </row>
    <row r="38" customFormat="false" ht="75" hidden="false" customHeight="true" outlineLevel="0" collapsed="false">
      <c r="A38" s="15" t="s">
        <v>1314</v>
      </c>
      <c r="B38" s="8" t="s">
        <v>132</v>
      </c>
      <c r="C38" s="15" t="s">
        <v>1330</v>
      </c>
      <c r="D38" s="8" t="s">
        <v>1199</v>
      </c>
      <c r="E38" s="8" t="s">
        <v>1316</v>
      </c>
      <c r="F38" s="15" t="s">
        <v>1331</v>
      </c>
      <c r="G38" s="8" t="s">
        <v>1332</v>
      </c>
      <c r="H38" s="8" t="s">
        <v>1319</v>
      </c>
      <c r="I38" s="8" t="s">
        <v>1320</v>
      </c>
      <c r="J38" s="8" t="s">
        <v>1321</v>
      </c>
      <c r="K38" s="8" t="s">
        <v>810</v>
      </c>
      <c r="L38" s="8" t="s">
        <v>811</v>
      </c>
      <c r="M38" s="8" t="s">
        <v>139</v>
      </c>
      <c r="N38" s="8" t="s">
        <v>812</v>
      </c>
      <c r="O38" s="8" t="s">
        <v>1333</v>
      </c>
      <c r="P38" s="8" t="s">
        <v>814</v>
      </c>
      <c r="Q38" s="8" t="s">
        <v>1334</v>
      </c>
      <c r="R38" s="8" t="s">
        <v>1335</v>
      </c>
      <c r="S38" s="8" t="s">
        <v>256</v>
      </c>
      <c r="T38" s="8" t="s">
        <v>136</v>
      </c>
      <c r="U38" s="8" t="s">
        <v>1336</v>
      </c>
      <c r="V38" s="8" t="s">
        <v>229</v>
      </c>
      <c r="W38" s="8" t="s">
        <v>1047</v>
      </c>
      <c r="X38" s="8" t="s">
        <v>496</v>
      </c>
    </row>
    <row r="39" customFormat="false" ht="75" hidden="false" customHeight="true" outlineLevel="0" collapsed="false">
      <c r="A39" s="11" t="s">
        <v>1337</v>
      </c>
      <c r="B39" s="7" t="s">
        <v>110</v>
      </c>
      <c r="C39" s="11" t="s">
        <v>1338</v>
      </c>
      <c r="D39" s="7" t="s">
        <v>1339</v>
      </c>
      <c r="E39" s="7" t="s">
        <v>858</v>
      </c>
      <c r="F39" s="11" t="s">
        <v>1340</v>
      </c>
      <c r="G39" s="7" t="s">
        <v>1341</v>
      </c>
      <c r="H39" s="7" t="s">
        <v>1342</v>
      </c>
      <c r="I39" s="7" t="s">
        <v>1343</v>
      </c>
      <c r="J39" s="7" t="s">
        <v>1176</v>
      </c>
      <c r="K39" s="7" t="s">
        <v>1344</v>
      </c>
      <c r="L39" s="7" t="s">
        <v>1345</v>
      </c>
      <c r="M39" s="7" t="s">
        <v>1346</v>
      </c>
      <c r="N39" s="7" t="s">
        <v>1347</v>
      </c>
      <c r="O39" s="7" t="s">
        <v>160</v>
      </c>
      <c r="P39" s="7" t="s">
        <v>216</v>
      </c>
      <c r="Q39" s="7" t="s">
        <v>1348</v>
      </c>
      <c r="R39" s="7" t="s">
        <v>1349</v>
      </c>
      <c r="S39" s="7" t="s">
        <v>1350</v>
      </c>
      <c r="T39" s="7" t="s">
        <v>1351</v>
      </c>
      <c r="U39" s="7" t="s">
        <v>1352</v>
      </c>
      <c r="V39" s="7" t="s">
        <v>1353</v>
      </c>
      <c r="W39" s="7" t="s">
        <v>1354</v>
      </c>
      <c r="X39" s="7" t="s">
        <v>875</v>
      </c>
    </row>
    <row r="40" customFormat="false" ht="75" hidden="false" customHeight="true" outlineLevel="0" collapsed="false">
      <c r="A40" s="15" t="s">
        <v>1337</v>
      </c>
      <c r="B40" s="8" t="s">
        <v>132</v>
      </c>
      <c r="C40" s="15" t="s">
        <v>1355</v>
      </c>
      <c r="D40" s="8" t="s">
        <v>1339</v>
      </c>
      <c r="E40" s="8" t="s">
        <v>858</v>
      </c>
      <c r="F40" s="15" t="s">
        <v>1356</v>
      </c>
      <c r="G40" s="8" t="s">
        <v>1357</v>
      </c>
      <c r="H40" s="8" t="s">
        <v>1342</v>
      </c>
      <c r="I40" s="8" t="s">
        <v>1343</v>
      </c>
      <c r="J40" s="8" t="s">
        <v>1176</v>
      </c>
      <c r="K40" s="8" t="s">
        <v>1358</v>
      </c>
      <c r="L40" s="8" t="s">
        <v>1359</v>
      </c>
      <c r="M40" s="8" t="s">
        <v>139</v>
      </c>
      <c r="N40" s="8" t="s">
        <v>225</v>
      </c>
      <c r="O40" s="8" t="s">
        <v>1192</v>
      </c>
      <c r="P40" s="8" t="s">
        <v>173</v>
      </c>
      <c r="Q40" s="8" t="s">
        <v>1360</v>
      </c>
      <c r="R40" s="8" t="s">
        <v>1361</v>
      </c>
      <c r="S40" s="8" t="s">
        <v>256</v>
      </c>
      <c r="T40" s="8" t="s">
        <v>136</v>
      </c>
      <c r="U40" s="8" t="s">
        <v>341</v>
      </c>
      <c r="V40" s="8" t="s">
        <v>1362</v>
      </c>
      <c r="W40" s="8" t="s">
        <v>1354</v>
      </c>
      <c r="X40" s="8" t="s">
        <v>317</v>
      </c>
    </row>
    <row r="41" customFormat="false" ht="62.25" hidden="false" customHeight="true" outlineLevel="0" collapsed="false">
      <c r="A41" s="11" t="s">
        <v>1363</v>
      </c>
      <c r="B41" s="7" t="s">
        <v>110</v>
      </c>
      <c r="C41" s="11" t="s">
        <v>1364</v>
      </c>
      <c r="D41" s="7" t="s">
        <v>1339</v>
      </c>
      <c r="E41" s="7" t="s">
        <v>1365</v>
      </c>
      <c r="F41" s="11" t="s">
        <v>1366</v>
      </c>
      <c r="G41" s="7" t="s">
        <v>1367</v>
      </c>
      <c r="H41" s="7" t="s">
        <v>1368</v>
      </c>
      <c r="I41" s="7" t="s">
        <v>1264</v>
      </c>
      <c r="J41" s="7" t="s">
        <v>1369</v>
      </c>
      <c r="K41" s="7" t="s">
        <v>402</v>
      </c>
      <c r="L41" s="7" t="s">
        <v>1370</v>
      </c>
      <c r="M41" s="7" t="s">
        <v>239</v>
      </c>
      <c r="N41" s="7" t="s">
        <v>1371</v>
      </c>
      <c r="O41" s="7" t="s">
        <v>160</v>
      </c>
      <c r="P41" s="7" t="s">
        <v>216</v>
      </c>
      <c r="Q41" s="7" t="s">
        <v>1372</v>
      </c>
      <c r="R41" s="7" t="s">
        <v>1373</v>
      </c>
      <c r="S41" s="7" t="s">
        <v>1374</v>
      </c>
      <c r="T41" s="7" t="s">
        <v>1375</v>
      </c>
      <c r="U41" s="7" t="s">
        <v>1376</v>
      </c>
      <c r="V41" s="7" t="s">
        <v>1377</v>
      </c>
      <c r="W41" s="7" t="s">
        <v>1378</v>
      </c>
      <c r="X41" s="7" t="s">
        <v>221</v>
      </c>
    </row>
    <row r="42" customFormat="false" ht="75" hidden="false" customHeight="true" outlineLevel="0" collapsed="false">
      <c r="A42" s="15" t="s">
        <v>1363</v>
      </c>
      <c r="B42" s="8" t="s">
        <v>132</v>
      </c>
      <c r="C42" s="15" t="s">
        <v>1379</v>
      </c>
      <c r="D42" s="8" t="s">
        <v>1339</v>
      </c>
      <c r="E42" s="8" t="s">
        <v>1365</v>
      </c>
      <c r="F42" s="15" t="s">
        <v>1380</v>
      </c>
      <c r="G42" s="8" t="s">
        <v>1381</v>
      </c>
      <c r="H42" s="8" t="s">
        <v>1368</v>
      </c>
      <c r="I42" s="8" t="s">
        <v>1264</v>
      </c>
      <c r="J42" s="8" t="s">
        <v>1369</v>
      </c>
      <c r="K42" s="8" t="s">
        <v>402</v>
      </c>
      <c r="L42" s="8" t="s">
        <v>413</v>
      </c>
      <c r="M42" s="8" t="s">
        <v>969</v>
      </c>
      <c r="N42" s="8" t="s">
        <v>1382</v>
      </c>
      <c r="O42" s="8" t="s">
        <v>1383</v>
      </c>
      <c r="P42" s="8" t="s">
        <v>1384</v>
      </c>
      <c r="Q42" s="8" t="s">
        <v>1385</v>
      </c>
      <c r="R42" s="8" t="s">
        <v>418</v>
      </c>
      <c r="S42" s="8" t="s">
        <v>256</v>
      </c>
      <c r="T42" s="8" t="s">
        <v>136</v>
      </c>
      <c r="U42" s="8" t="s">
        <v>341</v>
      </c>
      <c r="V42" s="8" t="s">
        <v>419</v>
      </c>
      <c r="W42" s="8" t="s">
        <v>1378</v>
      </c>
      <c r="X42" s="8" t="s">
        <v>221</v>
      </c>
    </row>
    <row r="43" customFormat="false" ht="62.25" hidden="false" customHeight="true" outlineLevel="0" collapsed="false">
      <c r="A43" s="11" t="s">
        <v>1386</v>
      </c>
      <c r="B43" s="7" t="s">
        <v>110</v>
      </c>
      <c r="C43" s="11" t="s">
        <v>1387</v>
      </c>
      <c r="D43" s="7" t="s">
        <v>1339</v>
      </c>
      <c r="E43" s="7" t="s">
        <v>1388</v>
      </c>
      <c r="F43" s="11" t="s">
        <v>1389</v>
      </c>
      <c r="G43" s="7" t="s">
        <v>1390</v>
      </c>
      <c r="H43" s="7" t="s">
        <v>1391</v>
      </c>
      <c r="I43" s="7" t="s">
        <v>1264</v>
      </c>
      <c r="J43" s="7" t="s">
        <v>1392</v>
      </c>
      <c r="K43" s="7" t="s">
        <v>1393</v>
      </c>
      <c r="L43" s="7" t="s">
        <v>1394</v>
      </c>
      <c r="M43" s="7" t="s">
        <v>239</v>
      </c>
      <c r="N43" s="7" t="s">
        <v>1268</v>
      </c>
      <c r="O43" s="7" t="s">
        <v>160</v>
      </c>
      <c r="P43" s="7" t="s">
        <v>216</v>
      </c>
      <c r="Q43" s="7" t="s">
        <v>1395</v>
      </c>
      <c r="R43" s="7" t="s">
        <v>1396</v>
      </c>
      <c r="S43" s="7" t="s">
        <v>1397</v>
      </c>
      <c r="T43" s="7" t="s">
        <v>1398</v>
      </c>
      <c r="U43" s="7" t="s">
        <v>1399</v>
      </c>
      <c r="V43" s="7" t="s">
        <v>1400</v>
      </c>
      <c r="W43" s="7" t="s">
        <v>1401</v>
      </c>
      <c r="X43" s="7" t="s">
        <v>221</v>
      </c>
    </row>
    <row r="44" customFormat="false" ht="75" hidden="false" customHeight="true" outlineLevel="0" collapsed="false">
      <c r="A44" s="15" t="s">
        <v>1386</v>
      </c>
      <c r="B44" s="8" t="s">
        <v>132</v>
      </c>
      <c r="C44" s="15" t="s">
        <v>1402</v>
      </c>
      <c r="D44" s="8" t="s">
        <v>1339</v>
      </c>
      <c r="E44" s="8" t="s">
        <v>1388</v>
      </c>
      <c r="F44" s="15" t="s">
        <v>1403</v>
      </c>
      <c r="G44" s="8" t="s">
        <v>1404</v>
      </c>
      <c r="H44" s="8" t="s">
        <v>1391</v>
      </c>
      <c r="I44" s="8" t="s">
        <v>1264</v>
      </c>
      <c r="J44" s="8" t="s">
        <v>1392</v>
      </c>
      <c r="K44" s="8" t="s">
        <v>1405</v>
      </c>
      <c r="L44" s="8" t="s">
        <v>968</v>
      </c>
      <c r="M44" s="8" t="s">
        <v>969</v>
      </c>
      <c r="N44" s="8" t="s">
        <v>1406</v>
      </c>
      <c r="O44" s="8" t="s">
        <v>1407</v>
      </c>
      <c r="P44" s="8" t="s">
        <v>1408</v>
      </c>
      <c r="Q44" s="8" t="s">
        <v>366</v>
      </c>
      <c r="R44" s="8" t="s">
        <v>1409</v>
      </c>
      <c r="S44" s="8" t="s">
        <v>256</v>
      </c>
      <c r="T44" s="8" t="s">
        <v>136</v>
      </c>
      <c r="U44" s="8" t="s">
        <v>341</v>
      </c>
      <c r="V44" s="8" t="s">
        <v>1410</v>
      </c>
      <c r="W44" s="8" t="s">
        <v>1401</v>
      </c>
      <c r="X44" s="8" t="s">
        <v>221</v>
      </c>
    </row>
    <row r="45" customFormat="false" ht="75" hidden="false" customHeight="true" outlineLevel="0" collapsed="false">
      <c r="A45" s="11" t="s">
        <v>1411</v>
      </c>
      <c r="B45" s="7" t="s">
        <v>110</v>
      </c>
      <c r="C45" s="11" t="s">
        <v>1412</v>
      </c>
      <c r="D45" s="7" t="s">
        <v>1413</v>
      </c>
      <c r="E45" s="7" t="s">
        <v>858</v>
      </c>
      <c r="F45" s="11" t="s">
        <v>1414</v>
      </c>
      <c r="G45" s="7" t="s">
        <v>1415</v>
      </c>
      <c r="H45" s="7" t="s">
        <v>1416</v>
      </c>
      <c r="I45" s="7" t="s">
        <v>1417</v>
      </c>
      <c r="J45" s="7" t="s">
        <v>1176</v>
      </c>
      <c r="K45" s="7" t="s">
        <v>1418</v>
      </c>
      <c r="L45" s="7" t="s">
        <v>1419</v>
      </c>
      <c r="M45" s="7" t="s">
        <v>239</v>
      </c>
      <c r="N45" s="7" t="s">
        <v>1420</v>
      </c>
      <c r="O45" s="7" t="s">
        <v>160</v>
      </c>
      <c r="P45" s="7" t="s">
        <v>216</v>
      </c>
      <c r="Q45" s="7" t="s">
        <v>1421</v>
      </c>
      <c r="R45" s="7" t="s">
        <v>1422</v>
      </c>
      <c r="S45" s="7" t="s">
        <v>1423</v>
      </c>
      <c r="T45" s="7" t="s">
        <v>1424</v>
      </c>
      <c r="U45" s="7" t="s">
        <v>1425</v>
      </c>
      <c r="V45" s="7" t="s">
        <v>1426</v>
      </c>
      <c r="W45" s="7" t="s">
        <v>1427</v>
      </c>
      <c r="X45" s="7" t="s">
        <v>496</v>
      </c>
    </row>
    <row r="46" customFormat="false" ht="75" hidden="false" customHeight="true" outlineLevel="0" collapsed="false">
      <c r="A46" s="15" t="s">
        <v>1411</v>
      </c>
      <c r="B46" s="8" t="s">
        <v>132</v>
      </c>
      <c r="C46" s="15" t="s">
        <v>1428</v>
      </c>
      <c r="D46" s="8" t="s">
        <v>1413</v>
      </c>
      <c r="E46" s="8" t="s">
        <v>858</v>
      </c>
      <c r="F46" s="15" t="s">
        <v>1429</v>
      </c>
      <c r="G46" s="8" t="s">
        <v>1430</v>
      </c>
      <c r="H46" s="8" t="s">
        <v>1416</v>
      </c>
      <c r="I46" s="8" t="s">
        <v>1417</v>
      </c>
      <c r="J46" s="8" t="s">
        <v>1176</v>
      </c>
      <c r="K46" s="8" t="s">
        <v>1431</v>
      </c>
      <c r="L46" s="8" t="s">
        <v>1432</v>
      </c>
      <c r="M46" s="8" t="s">
        <v>139</v>
      </c>
      <c r="N46" s="8" t="s">
        <v>225</v>
      </c>
      <c r="O46" s="8" t="s">
        <v>1433</v>
      </c>
      <c r="P46" s="8" t="s">
        <v>173</v>
      </c>
      <c r="Q46" s="8" t="s">
        <v>1434</v>
      </c>
      <c r="R46" s="8" t="s">
        <v>1435</v>
      </c>
      <c r="S46" s="8" t="s">
        <v>256</v>
      </c>
      <c r="T46" s="8" t="s">
        <v>136</v>
      </c>
      <c r="U46" s="8" t="s">
        <v>341</v>
      </c>
      <c r="V46" s="8" t="s">
        <v>229</v>
      </c>
      <c r="W46" s="8" t="s">
        <v>1427</v>
      </c>
      <c r="X46" s="8" t="s">
        <v>496</v>
      </c>
    </row>
    <row r="47" customFormat="false" ht="62.25" hidden="false" customHeight="true" outlineLevel="0" collapsed="false">
      <c r="A47" s="11" t="s">
        <v>1436</v>
      </c>
      <c r="B47" s="7" t="s">
        <v>110</v>
      </c>
      <c r="C47" s="11" t="s">
        <v>1437</v>
      </c>
      <c r="D47" s="7" t="s">
        <v>1339</v>
      </c>
      <c r="E47" s="7" t="s">
        <v>1230</v>
      </c>
      <c r="F47" s="11" t="s">
        <v>1438</v>
      </c>
      <c r="G47" s="7" t="s">
        <v>1439</v>
      </c>
      <c r="H47" s="7" t="s">
        <v>1440</v>
      </c>
      <c r="I47" s="7" t="s">
        <v>1234</v>
      </c>
      <c r="J47" s="7" t="s">
        <v>1441</v>
      </c>
      <c r="K47" s="7" t="s">
        <v>1442</v>
      </c>
      <c r="L47" s="7" t="s">
        <v>1443</v>
      </c>
      <c r="M47" s="7" t="s">
        <v>1444</v>
      </c>
      <c r="N47" s="7" t="s">
        <v>1445</v>
      </c>
      <c r="O47" s="7" t="s">
        <v>160</v>
      </c>
      <c r="P47" s="7" t="s">
        <v>216</v>
      </c>
      <c r="Q47" s="7" t="s">
        <v>1446</v>
      </c>
      <c r="R47" s="7" t="s">
        <v>1447</v>
      </c>
      <c r="S47" s="7" t="s">
        <v>1448</v>
      </c>
      <c r="T47" s="7" t="s">
        <v>1449</v>
      </c>
      <c r="U47" s="7" t="s">
        <v>1450</v>
      </c>
      <c r="V47" s="7" t="s">
        <v>229</v>
      </c>
      <c r="W47" s="7" t="s">
        <v>1451</v>
      </c>
      <c r="X47" s="7" t="s">
        <v>496</v>
      </c>
    </row>
    <row r="48" customFormat="false" ht="75" hidden="false" customHeight="true" outlineLevel="0" collapsed="false">
      <c r="A48" s="15" t="s">
        <v>1436</v>
      </c>
      <c r="B48" s="8" t="s">
        <v>132</v>
      </c>
      <c r="C48" s="15" t="s">
        <v>1452</v>
      </c>
      <c r="D48" s="8" t="s">
        <v>1339</v>
      </c>
      <c r="E48" s="8" t="s">
        <v>1230</v>
      </c>
      <c r="F48" s="15" t="s">
        <v>1453</v>
      </c>
      <c r="G48" s="8" t="s">
        <v>1454</v>
      </c>
      <c r="H48" s="8" t="s">
        <v>1440</v>
      </c>
      <c r="I48" s="8" t="s">
        <v>1234</v>
      </c>
      <c r="J48" s="8" t="s">
        <v>1441</v>
      </c>
      <c r="K48" s="8" t="s">
        <v>1455</v>
      </c>
      <c r="L48" s="8" t="s">
        <v>1251</v>
      </c>
      <c r="M48" s="8" t="s">
        <v>139</v>
      </c>
      <c r="N48" s="8" t="s">
        <v>1252</v>
      </c>
      <c r="O48" s="8" t="s">
        <v>1456</v>
      </c>
      <c r="P48" s="8" t="s">
        <v>1254</v>
      </c>
      <c r="Q48" s="8" t="s">
        <v>1457</v>
      </c>
      <c r="R48" s="8" t="s">
        <v>1458</v>
      </c>
      <c r="S48" s="8" t="s">
        <v>256</v>
      </c>
      <c r="T48" s="8" t="s">
        <v>136</v>
      </c>
      <c r="U48" s="8" t="s">
        <v>341</v>
      </c>
      <c r="V48" s="8" t="s">
        <v>229</v>
      </c>
      <c r="W48" s="8" t="s">
        <v>1451</v>
      </c>
      <c r="X48" s="8" t="s">
        <v>496</v>
      </c>
    </row>
    <row r="49" customFormat="false" ht="62.25" hidden="false" customHeight="true" outlineLevel="0" collapsed="false">
      <c r="A49" s="11" t="s">
        <v>1459</v>
      </c>
      <c r="B49" s="7" t="s">
        <v>110</v>
      </c>
      <c r="C49" s="11" t="s">
        <v>1460</v>
      </c>
      <c r="D49" s="7" t="s">
        <v>1461</v>
      </c>
      <c r="E49" s="7" t="s">
        <v>1462</v>
      </c>
      <c r="F49" s="11" t="s">
        <v>1463</v>
      </c>
      <c r="G49" s="7" t="s">
        <v>1464</v>
      </c>
      <c r="H49" s="7" t="s">
        <v>1465</v>
      </c>
      <c r="I49" s="7" t="s">
        <v>1466</v>
      </c>
      <c r="J49" s="7" t="s">
        <v>1467</v>
      </c>
      <c r="K49" s="7" t="s">
        <v>1468</v>
      </c>
      <c r="L49" s="7" t="s">
        <v>1469</v>
      </c>
      <c r="M49" s="7" t="s">
        <v>239</v>
      </c>
      <c r="N49" s="7" t="s">
        <v>1470</v>
      </c>
      <c r="O49" s="7" t="s">
        <v>160</v>
      </c>
      <c r="P49" s="7" t="s">
        <v>216</v>
      </c>
      <c r="Q49" s="7" t="s">
        <v>1471</v>
      </c>
      <c r="R49" s="7" t="s">
        <v>1472</v>
      </c>
      <c r="S49" s="7" t="s">
        <v>1473</v>
      </c>
      <c r="T49" s="7" t="s">
        <v>1474</v>
      </c>
      <c r="U49" s="7" t="s">
        <v>1475</v>
      </c>
      <c r="V49" s="7" t="s">
        <v>1476</v>
      </c>
      <c r="W49" s="7" t="s">
        <v>1477</v>
      </c>
      <c r="X49" s="7" t="s">
        <v>1478</v>
      </c>
    </row>
    <row r="50" customFormat="false" ht="75" hidden="false" customHeight="true" outlineLevel="0" collapsed="false">
      <c r="A50" s="15" t="s">
        <v>1459</v>
      </c>
      <c r="B50" s="8" t="s">
        <v>132</v>
      </c>
      <c r="C50" s="15" t="s">
        <v>1479</v>
      </c>
      <c r="D50" s="8" t="s">
        <v>1461</v>
      </c>
      <c r="E50" s="8" t="s">
        <v>1462</v>
      </c>
      <c r="F50" s="15" t="s">
        <v>1480</v>
      </c>
      <c r="G50" s="8" t="s">
        <v>1481</v>
      </c>
      <c r="H50" s="8" t="s">
        <v>1465</v>
      </c>
      <c r="I50" s="8" t="s">
        <v>1466</v>
      </c>
      <c r="J50" s="8" t="s">
        <v>1467</v>
      </c>
      <c r="K50" s="8" t="s">
        <v>1468</v>
      </c>
      <c r="L50" s="8" t="s">
        <v>1482</v>
      </c>
      <c r="M50" s="8" t="s">
        <v>139</v>
      </c>
      <c r="N50" s="8" t="s">
        <v>438</v>
      </c>
      <c r="O50" s="8" t="s">
        <v>1483</v>
      </c>
      <c r="P50" s="8" t="s">
        <v>440</v>
      </c>
      <c r="Q50" s="8" t="s">
        <v>467</v>
      </c>
      <c r="R50" s="8" t="s">
        <v>442</v>
      </c>
      <c r="S50" s="8" t="s">
        <v>256</v>
      </c>
      <c r="T50" s="8" t="s">
        <v>136</v>
      </c>
      <c r="U50" s="8" t="s">
        <v>341</v>
      </c>
      <c r="V50" s="8" t="s">
        <v>1484</v>
      </c>
      <c r="W50" s="8" t="s">
        <v>1477</v>
      </c>
      <c r="X50" s="8" t="s">
        <v>221</v>
      </c>
    </row>
    <row r="51" customFormat="false" ht="62.25" hidden="false" customHeight="true" outlineLevel="0" collapsed="false">
      <c r="A51" s="11" t="s">
        <v>1485</v>
      </c>
      <c r="B51" s="7" t="s">
        <v>110</v>
      </c>
      <c r="C51" s="11" t="s">
        <v>1486</v>
      </c>
      <c r="D51" s="7" t="s">
        <v>1487</v>
      </c>
      <c r="E51" s="7" t="s">
        <v>858</v>
      </c>
      <c r="F51" s="11" t="s">
        <v>1488</v>
      </c>
      <c r="G51" s="7" t="s">
        <v>1489</v>
      </c>
      <c r="H51" s="7" t="s">
        <v>1490</v>
      </c>
      <c r="I51" s="7" t="s">
        <v>1491</v>
      </c>
      <c r="J51" s="7" t="s">
        <v>1176</v>
      </c>
      <c r="K51" s="7" t="s">
        <v>1492</v>
      </c>
      <c r="L51" s="7" t="s">
        <v>1493</v>
      </c>
      <c r="M51" s="7" t="s">
        <v>1494</v>
      </c>
      <c r="N51" s="7" t="s">
        <v>1495</v>
      </c>
      <c r="O51" s="7" t="s">
        <v>160</v>
      </c>
      <c r="P51" s="7" t="s">
        <v>216</v>
      </c>
      <c r="Q51" s="7" t="s">
        <v>1496</v>
      </c>
      <c r="R51" s="7" t="s">
        <v>1497</v>
      </c>
      <c r="S51" s="7" t="s">
        <v>1498</v>
      </c>
      <c r="T51" s="7" t="s">
        <v>1499</v>
      </c>
      <c r="U51" s="7" t="s">
        <v>1500</v>
      </c>
      <c r="V51" s="7" t="s">
        <v>1501</v>
      </c>
      <c r="W51" s="7" t="s">
        <v>1354</v>
      </c>
      <c r="X51" s="7" t="s">
        <v>875</v>
      </c>
    </row>
    <row r="52" customFormat="false" ht="75" hidden="false" customHeight="true" outlineLevel="0" collapsed="false">
      <c r="A52" s="15" t="s">
        <v>1485</v>
      </c>
      <c r="B52" s="8" t="s">
        <v>132</v>
      </c>
      <c r="C52" s="15" t="s">
        <v>1502</v>
      </c>
      <c r="D52" s="8" t="s">
        <v>1487</v>
      </c>
      <c r="E52" s="8" t="s">
        <v>858</v>
      </c>
      <c r="F52" s="15" t="s">
        <v>1503</v>
      </c>
      <c r="G52" s="8" t="s">
        <v>1504</v>
      </c>
      <c r="H52" s="8" t="s">
        <v>1490</v>
      </c>
      <c r="I52" s="8" t="s">
        <v>1491</v>
      </c>
      <c r="J52" s="8" t="s">
        <v>1176</v>
      </c>
      <c r="K52" s="8" t="s">
        <v>1505</v>
      </c>
      <c r="L52" s="8" t="s">
        <v>1506</v>
      </c>
      <c r="M52" s="8" t="s">
        <v>139</v>
      </c>
      <c r="N52" s="8" t="s">
        <v>225</v>
      </c>
      <c r="O52" s="8" t="s">
        <v>1192</v>
      </c>
      <c r="P52" s="8" t="s">
        <v>173</v>
      </c>
      <c r="Q52" s="8" t="s">
        <v>1507</v>
      </c>
      <c r="R52" s="8" t="s">
        <v>1508</v>
      </c>
      <c r="S52" s="8" t="s">
        <v>256</v>
      </c>
      <c r="T52" s="8" t="s">
        <v>136</v>
      </c>
      <c r="U52" s="8" t="s">
        <v>341</v>
      </c>
      <c r="V52" s="8" t="s">
        <v>1509</v>
      </c>
      <c r="W52" s="8" t="s">
        <v>1354</v>
      </c>
      <c r="X52" s="8" t="s">
        <v>317</v>
      </c>
    </row>
    <row r="53" customFormat="false" ht="99.75" hidden="false" customHeight="true" outlineLevel="0" collapsed="false">
      <c r="A53" s="11" t="s">
        <v>1510</v>
      </c>
      <c r="B53" s="7" t="s">
        <v>110</v>
      </c>
      <c r="C53" s="11" t="s">
        <v>1511</v>
      </c>
      <c r="D53" s="7" t="s">
        <v>1487</v>
      </c>
      <c r="E53" s="7" t="s">
        <v>889</v>
      </c>
      <c r="F53" s="11" t="s">
        <v>1512</v>
      </c>
      <c r="G53" s="7" t="s">
        <v>1513</v>
      </c>
      <c r="H53" s="7" t="s">
        <v>1514</v>
      </c>
      <c r="I53" s="7" t="s">
        <v>1320</v>
      </c>
      <c r="J53" s="7" t="s">
        <v>1515</v>
      </c>
      <c r="K53" s="7" t="s">
        <v>1516</v>
      </c>
      <c r="L53" s="7" t="s">
        <v>1517</v>
      </c>
      <c r="M53" s="7" t="s">
        <v>239</v>
      </c>
      <c r="N53" s="7" t="s">
        <v>1518</v>
      </c>
      <c r="O53" s="7" t="s">
        <v>160</v>
      </c>
      <c r="P53" s="7" t="s">
        <v>216</v>
      </c>
      <c r="Q53" s="7" t="s">
        <v>1519</v>
      </c>
      <c r="R53" s="7" t="s">
        <v>1520</v>
      </c>
      <c r="S53" s="7" t="s">
        <v>1521</v>
      </c>
      <c r="T53" s="7" t="s">
        <v>1522</v>
      </c>
      <c r="U53" s="7" t="s">
        <v>1523</v>
      </c>
      <c r="V53" s="7" t="s">
        <v>1524</v>
      </c>
      <c r="W53" s="7" t="s">
        <v>1354</v>
      </c>
      <c r="X53" s="7" t="s">
        <v>221</v>
      </c>
    </row>
    <row r="54" customFormat="false" ht="75" hidden="false" customHeight="true" outlineLevel="0" collapsed="false">
      <c r="A54" s="15" t="s">
        <v>1510</v>
      </c>
      <c r="B54" s="8" t="s">
        <v>132</v>
      </c>
      <c r="C54" s="15" t="s">
        <v>1525</v>
      </c>
      <c r="D54" s="8" t="s">
        <v>1487</v>
      </c>
      <c r="E54" s="8" t="s">
        <v>889</v>
      </c>
      <c r="F54" s="15" t="s">
        <v>1526</v>
      </c>
      <c r="G54" s="8" t="s">
        <v>1527</v>
      </c>
      <c r="H54" s="8" t="s">
        <v>1514</v>
      </c>
      <c r="I54" s="8" t="s">
        <v>1320</v>
      </c>
      <c r="J54" s="8" t="s">
        <v>1515</v>
      </c>
      <c r="K54" s="8" t="s">
        <v>268</v>
      </c>
      <c r="L54" s="8" t="s">
        <v>1528</v>
      </c>
      <c r="M54" s="8" t="s">
        <v>139</v>
      </c>
      <c r="N54" s="8" t="s">
        <v>225</v>
      </c>
      <c r="O54" s="8" t="s">
        <v>1433</v>
      </c>
      <c r="P54" s="8" t="s">
        <v>173</v>
      </c>
      <c r="Q54" s="8" t="s">
        <v>1529</v>
      </c>
      <c r="R54" s="8" t="s">
        <v>1530</v>
      </c>
      <c r="S54" s="8" t="s">
        <v>175</v>
      </c>
      <c r="T54" s="8" t="s">
        <v>136</v>
      </c>
      <c r="U54" s="8" t="s">
        <v>341</v>
      </c>
      <c r="V54" s="8" t="s">
        <v>1531</v>
      </c>
      <c r="W54" s="8" t="s">
        <v>1354</v>
      </c>
      <c r="X54" s="8" t="s">
        <v>221</v>
      </c>
    </row>
    <row r="55" customFormat="false" ht="62.25" hidden="false" customHeight="true" outlineLevel="0" collapsed="false">
      <c r="A55" s="11" t="s">
        <v>1532</v>
      </c>
      <c r="B55" s="7" t="s">
        <v>110</v>
      </c>
      <c r="C55" s="11" t="s">
        <v>1533</v>
      </c>
      <c r="D55" s="7" t="s">
        <v>1487</v>
      </c>
      <c r="E55" s="7" t="s">
        <v>1534</v>
      </c>
      <c r="F55" s="11" t="s">
        <v>1535</v>
      </c>
      <c r="G55" s="7" t="s">
        <v>1536</v>
      </c>
      <c r="H55" s="7" t="s">
        <v>1537</v>
      </c>
      <c r="I55" s="7" t="s">
        <v>1320</v>
      </c>
      <c r="J55" s="7" t="s">
        <v>1538</v>
      </c>
      <c r="K55" s="7" t="s">
        <v>1539</v>
      </c>
      <c r="L55" s="7" t="s">
        <v>1540</v>
      </c>
      <c r="M55" s="7" t="s">
        <v>239</v>
      </c>
      <c r="N55" s="7" t="s">
        <v>1541</v>
      </c>
      <c r="O55" s="7" t="s">
        <v>160</v>
      </c>
      <c r="P55" s="7" t="s">
        <v>216</v>
      </c>
      <c r="Q55" s="7" t="s">
        <v>1542</v>
      </c>
      <c r="R55" s="7" t="s">
        <v>1543</v>
      </c>
      <c r="S55" s="7" t="s">
        <v>1544</v>
      </c>
      <c r="T55" s="7" t="s">
        <v>1545</v>
      </c>
      <c r="U55" s="7" t="s">
        <v>1546</v>
      </c>
      <c r="V55" s="7" t="s">
        <v>1547</v>
      </c>
      <c r="W55" s="7" t="s">
        <v>1548</v>
      </c>
      <c r="X55" s="7" t="s">
        <v>221</v>
      </c>
    </row>
    <row r="56" customFormat="false" ht="75" hidden="false" customHeight="true" outlineLevel="0" collapsed="false">
      <c r="A56" s="15" t="s">
        <v>1532</v>
      </c>
      <c r="B56" s="8" t="s">
        <v>132</v>
      </c>
      <c r="C56" s="15" t="s">
        <v>1549</v>
      </c>
      <c r="D56" s="8" t="s">
        <v>1487</v>
      </c>
      <c r="E56" s="8" t="s">
        <v>1534</v>
      </c>
      <c r="F56" s="15" t="s">
        <v>1550</v>
      </c>
      <c r="G56" s="8" t="s">
        <v>1551</v>
      </c>
      <c r="H56" s="8" t="s">
        <v>1537</v>
      </c>
      <c r="I56" s="8" t="s">
        <v>1320</v>
      </c>
      <c r="J56" s="8" t="s">
        <v>1538</v>
      </c>
      <c r="K56" s="8" t="s">
        <v>1552</v>
      </c>
      <c r="L56" s="8" t="s">
        <v>1553</v>
      </c>
      <c r="M56" s="8" t="s">
        <v>969</v>
      </c>
      <c r="N56" s="8" t="s">
        <v>1554</v>
      </c>
      <c r="O56" s="8" t="s">
        <v>1555</v>
      </c>
      <c r="P56" s="8" t="s">
        <v>1556</v>
      </c>
      <c r="Q56" s="8" t="s">
        <v>1557</v>
      </c>
      <c r="R56" s="8" t="s">
        <v>1558</v>
      </c>
      <c r="S56" s="8" t="s">
        <v>256</v>
      </c>
      <c r="T56" s="8" t="s">
        <v>136</v>
      </c>
      <c r="U56" s="8" t="s">
        <v>341</v>
      </c>
      <c r="V56" s="8" t="s">
        <v>1559</v>
      </c>
      <c r="W56" s="8" t="s">
        <v>1548</v>
      </c>
      <c r="X56" s="8" t="s">
        <v>221</v>
      </c>
    </row>
    <row r="57" customFormat="false" ht="75" hidden="false" customHeight="true" outlineLevel="0" collapsed="false">
      <c r="A57" s="11" t="s">
        <v>1560</v>
      </c>
      <c r="B57" s="7" t="s">
        <v>110</v>
      </c>
      <c r="C57" s="11" t="s">
        <v>1561</v>
      </c>
      <c r="D57" s="7" t="s">
        <v>1487</v>
      </c>
      <c r="E57" s="7" t="s">
        <v>1562</v>
      </c>
      <c r="F57" s="11" t="s">
        <v>1563</v>
      </c>
      <c r="G57" s="7" t="s">
        <v>1564</v>
      </c>
      <c r="H57" s="7" t="s">
        <v>1565</v>
      </c>
      <c r="I57" s="7" t="s">
        <v>1121</v>
      </c>
      <c r="J57" s="7" t="s">
        <v>1566</v>
      </c>
      <c r="K57" s="7" t="s">
        <v>1567</v>
      </c>
      <c r="L57" s="7" t="s">
        <v>1568</v>
      </c>
      <c r="M57" s="7" t="s">
        <v>1569</v>
      </c>
      <c r="N57" s="7" t="s">
        <v>1570</v>
      </c>
      <c r="O57" s="7" t="s">
        <v>160</v>
      </c>
      <c r="P57" s="7" t="s">
        <v>216</v>
      </c>
      <c r="Q57" s="7" t="s">
        <v>1571</v>
      </c>
      <c r="R57" s="7" t="s">
        <v>1572</v>
      </c>
      <c r="S57" s="7" t="s">
        <v>1573</v>
      </c>
      <c r="T57" s="7" t="s">
        <v>1574</v>
      </c>
      <c r="U57" s="7" t="s">
        <v>1575</v>
      </c>
      <c r="V57" s="7" t="s">
        <v>1576</v>
      </c>
      <c r="W57" s="7" t="s">
        <v>1577</v>
      </c>
      <c r="X57" s="7" t="s">
        <v>1578</v>
      </c>
    </row>
    <row r="58" customFormat="false" ht="75" hidden="false" customHeight="true" outlineLevel="0" collapsed="false">
      <c r="A58" s="15" t="s">
        <v>1560</v>
      </c>
      <c r="B58" s="8" t="s">
        <v>132</v>
      </c>
      <c r="C58" s="15" t="s">
        <v>1579</v>
      </c>
      <c r="D58" s="8" t="s">
        <v>1487</v>
      </c>
      <c r="E58" s="8" t="s">
        <v>1562</v>
      </c>
      <c r="F58" s="15" t="s">
        <v>1580</v>
      </c>
      <c r="G58" s="8" t="s">
        <v>1581</v>
      </c>
      <c r="H58" s="8" t="s">
        <v>1565</v>
      </c>
      <c r="I58" s="8" t="s">
        <v>1121</v>
      </c>
      <c r="J58" s="8" t="s">
        <v>1566</v>
      </c>
      <c r="K58" s="8" t="s">
        <v>1582</v>
      </c>
      <c r="L58" s="8" t="s">
        <v>1583</v>
      </c>
      <c r="M58" s="8" t="s">
        <v>139</v>
      </c>
      <c r="N58" s="8" t="s">
        <v>1584</v>
      </c>
      <c r="O58" s="8" t="s">
        <v>999</v>
      </c>
      <c r="P58" s="8" t="s">
        <v>1000</v>
      </c>
      <c r="Q58" s="8" t="s">
        <v>1585</v>
      </c>
      <c r="R58" s="8" t="s">
        <v>1586</v>
      </c>
      <c r="S58" s="8" t="s">
        <v>256</v>
      </c>
      <c r="T58" s="8" t="s">
        <v>136</v>
      </c>
      <c r="U58" s="8" t="s">
        <v>1587</v>
      </c>
      <c r="V58" s="8" t="s">
        <v>229</v>
      </c>
      <c r="W58" s="8" t="s">
        <v>1577</v>
      </c>
      <c r="X58" s="8" t="s">
        <v>496</v>
      </c>
    </row>
  </sheetData>
  <autoFilter ref="A4:X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4" min="4" style="0" width="60"/>
    <col collapsed="false" customWidth="true" hidden="false" outlineLevel="0" max="5" min="5" style="0" width="46"/>
    <col collapsed="false" customWidth="true" hidden="false" outlineLevel="0" max="6" min="6" style="0" width="26"/>
    <col collapsed="false" customWidth="true" hidden="false" outlineLevel="0" max="7" min="7" style="0" width="50"/>
  </cols>
  <sheetData>
    <row r="1" customFormat="false" ht="17.35" hidden="false" customHeight="false" outlineLevel="0" collapsed="false">
      <c r="A1" s="1" t="s">
        <v>1588</v>
      </c>
    </row>
    <row r="2" customFormat="false" ht="15" hidden="false" customHeight="false" outlineLevel="0" collapsed="false">
      <c r="A2" s="2" t="s">
        <v>1589</v>
      </c>
    </row>
    <row r="4" customFormat="false" ht="23.85" hidden="false" customHeight="false" outlineLevel="0" collapsed="false">
      <c r="A4" s="3" t="s">
        <v>848</v>
      </c>
      <c r="B4" s="3" t="s">
        <v>844</v>
      </c>
      <c r="C4" s="3" t="s">
        <v>1590</v>
      </c>
      <c r="D4" s="3" t="s">
        <v>1591</v>
      </c>
      <c r="E4" s="3" t="s">
        <v>1592</v>
      </c>
      <c r="F4" s="3" t="s">
        <v>1593</v>
      </c>
      <c r="G4" s="3" t="s">
        <v>1594</v>
      </c>
    </row>
    <row r="5" customFormat="false" ht="62.25" hidden="false" customHeight="true" outlineLevel="0" collapsed="false">
      <c r="A5" s="5" t="s">
        <v>1291</v>
      </c>
      <c r="B5" s="5" t="s">
        <v>1144</v>
      </c>
      <c r="C5" s="4" t="s">
        <v>1595</v>
      </c>
      <c r="D5" s="5" t="s">
        <v>1596</v>
      </c>
      <c r="E5" s="5" t="s">
        <v>1597</v>
      </c>
      <c r="F5" s="5" t="s">
        <v>1598</v>
      </c>
      <c r="G5" s="5" t="s">
        <v>1599</v>
      </c>
    </row>
    <row r="6" customFormat="false" ht="49.5" hidden="false" customHeight="true" outlineLevel="0" collapsed="false">
      <c r="A6" s="19" t="s">
        <v>1204</v>
      </c>
      <c r="B6" s="19" t="s">
        <v>1144</v>
      </c>
      <c r="C6" s="20" t="s">
        <v>1600</v>
      </c>
      <c r="D6" s="19" t="s">
        <v>1601</v>
      </c>
      <c r="E6" s="19" t="s">
        <v>1602</v>
      </c>
      <c r="F6" s="19" t="s">
        <v>1603</v>
      </c>
      <c r="G6" s="19" t="s">
        <v>1604</v>
      </c>
    </row>
    <row r="7" customFormat="false" ht="62.25" hidden="false" customHeight="true" outlineLevel="0" collapsed="false">
      <c r="A7" s="5" t="s">
        <v>1175</v>
      </c>
      <c r="B7" s="5" t="s">
        <v>1605</v>
      </c>
      <c r="C7" s="4" t="s">
        <v>1606</v>
      </c>
      <c r="D7" s="5" t="s">
        <v>1607</v>
      </c>
      <c r="E7" s="5" t="s">
        <v>1608</v>
      </c>
      <c r="F7" s="5" t="s">
        <v>1609</v>
      </c>
      <c r="G7" s="5" t="s">
        <v>1610</v>
      </c>
    </row>
    <row r="8" customFormat="false" ht="37.5" hidden="false" customHeight="true" outlineLevel="0" collapsed="false">
      <c r="A8" s="19" t="s">
        <v>893</v>
      </c>
      <c r="B8" s="19" t="s">
        <v>857</v>
      </c>
      <c r="C8" s="20" t="s">
        <v>1611</v>
      </c>
      <c r="D8" s="19" t="s">
        <v>1612</v>
      </c>
      <c r="E8" s="19" t="s">
        <v>1613</v>
      </c>
      <c r="F8" s="19" t="s">
        <v>887</v>
      </c>
      <c r="G8" s="19" t="s">
        <v>1614</v>
      </c>
    </row>
    <row r="9" customFormat="false" ht="37.5" hidden="false" customHeight="true" outlineLevel="0" collapsed="false">
      <c r="A9" s="5" t="s">
        <v>919</v>
      </c>
      <c r="B9" s="5" t="s">
        <v>914</v>
      </c>
      <c r="C9" s="4" t="s">
        <v>1615</v>
      </c>
      <c r="D9" s="5" t="s">
        <v>1616</v>
      </c>
      <c r="E9" s="5" t="s">
        <v>1617</v>
      </c>
      <c r="F9" s="5" t="s">
        <v>912</v>
      </c>
      <c r="G9" s="5" t="s">
        <v>1618</v>
      </c>
    </row>
    <row r="10" customFormat="false" ht="49.5" hidden="false" customHeight="true" outlineLevel="0" collapsed="false">
      <c r="A10" s="19" t="s">
        <v>951</v>
      </c>
      <c r="B10" s="19" t="s">
        <v>857</v>
      </c>
      <c r="C10" s="20" t="s">
        <v>1619</v>
      </c>
      <c r="D10" s="19" t="s">
        <v>1620</v>
      </c>
      <c r="E10" s="19" t="s">
        <v>1621</v>
      </c>
      <c r="F10" s="19" t="s">
        <v>945</v>
      </c>
      <c r="G10" s="19" t="s">
        <v>1622</v>
      </c>
    </row>
    <row r="11" customFormat="false" ht="62.25" hidden="false" customHeight="true" outlineLevel="0" collapsed="false">
      <c r="A11" s="5" t="s">
        <v>981</v>
      </c>
      <c r="B11" s="5" t="s">
        <v>857</v>
      </c>
      <c r="C11" s="4" t="s">
        <v>1623</v>
      </c>
      <c r="D11" s="5" t="s">
        <v>1624</v>
      </c>
      <c r="E11" s="5" t="s">
        <v>1625</v>
      </c>
      <c r="F11" s="5" t="s">
        <v>975</v>
      </c>
      <c r="G11" s="5" t="s">
        <v>1626</v>
      </c>
    </row>
    <row r="12" customFormat="false" ht="37.5" hidden="false" customHeight="true" outlineLevel="0" collapsed="false">
      <c r="A12" s="19" t="s">
        <v>1094</v>
      </c>
      <c r="B12" s="19" t="s">
        <v>914</v>
      </c>
      <c r="C12" s="20" t="s">
        <v>1627</v>
      </c>
      <c r="D12" s="19" t="s">
        <v>1628</v>
      </c>
      <c r="E12" s="19" t="s">
        <v>1629</v>
      </c>
      <c r="F12" s="19" t="s">
        <v>1630</v>
      </c>
      <c r="G12" s="19" t="s">
        <v>1631</v>
      </c>
    </row>
    <row r="13" customFormat="false" ht="37.5" hidden="false" customHeight="true" outlineLevel="0" collapsed="false">
      <c r="A13" s="5" t="s">
        <v>1036</v>
      </c>
      <c r="B13" s="5" t="s">
        <v>1632</v>
      </c>
      <c r="C13" s="4" t="s">
        <v>1633</v>
      </c>
      <c r="D13" s="5" t="s">
        <v>1634</v>
      </c>
      <c r="E13" s="5" t="s">
        <v>1635</v>
      </c>
      <c r="F13" s="5" t="s">
        <v>1030</v>
      </c>
      <c r="G13" s="5" t="s">
        <v>1636</v>
      </c>
    </row>
    <row r="14" customFormat="false" ht="24.75" hidden="false" customHeight="true" outlineLevel="0" collapsed="false">
      <c r="A14" s="19" t="s">
        <v>1067</v>
      </c>
      <c r="B14" s="19" t="s">
        <v>1637</v>
      </c>
      <c r="C14" s="20" t="s">
        <v>1638</v>
      </c>
      <c r="D14" s="19" t="s">
        <v>1639</v>
      </c>
      <c r="E14" s="19" t="s">
        <v>1640</v>
      </c>
      <c r="F14" s="19" t="s">
        <v>1060</v>
      </c>
      <c r="G14" s="19" t="s">
        <v>1641</v>
      </c>
    </row>
    <row r="15" customFormat="false" ht="49.5" hidden="false" customHeight="true" outlineLevel="0" collapsed="false">
      <c r="A15" s="5" t="s">
        <v>1264</v>
      </c>
      <c r="B15" s="5" t="s">
        <v>1339</v>
      </c>
      <c r="C15" s="4" t="s">
        <v>1642</v>
      </c>
      <c r="D15" s="5" t="s">
        <v>1643</v>
      </c>
      <c r="E15" s="5" t="s">
        <v>1644</v>
      </c>
      <c r="F15" s="5" t="s">
        <v>1645</v>
      </c>
      <c r="G15" s="5" t="s">
        <v>1646</v>
      </c>
    </row>
    <row r="16" customFormat="false" ht="49.5" hidden="false" customHeight="true" outlineLevel="0" collapsed="false">
      <c r="A16" s="19" t="s">
        <v>1234</v>
      </c>
      <c r="B16" s="19" t="s">
        <v>1647</v>
      </c>
      <c r="C16" s="20" t="s">
        <v>1648</v>
      </c>
      <c r="D16" s="19" t="s">
        <v>1649</v>
      </c>
      <c r="E16" s="19" t="s">
        <v>1650</v>
      </c>
      <c r="F16" s="19" t="s">
        <v>1651</v>
      </c>
      <c r="G16" s="19" t="s">
        <v>1652</v>
      </c>
    </row>
    <row r="17" customFormat="false" ht="49.5" hidden="false" customHeight="true" outlineLevel="0" collapsed="false">
      <c r="A17" s="5" t="s">
        <v>1320</v>
      </c>
      <c r="B17" s="5" t="s">
        <v>1653</v>
      </c>
      <c r="C17" s="4" t="s">
        <v>1654</v>
      </c>
      <c r="D17" s="5" t="s">
        <v>1655</v>
      </c>
      <c r="E17" s="5" t="s">
        <v>1656</v>
      </c>
      <c r="F17" s="5" t="s">
        <v>1657</v>
      </c>
      <c r="G17" s="5" t="s">
        <v>1658</v>
      </c>
    </row>
    <row r="18" customFormat="false" ht="49.5" hidden="false" customHeight="true" outlineLevel="0" collapsed="false">
      <c r="A18" s="19" t="s">
        <v>1466</v>
      </c>
      <c r="B18" s="19" t="s">
        <v>1659</v>
      </c>
      <c r="C18" s="20" t="s">
        <v>1660</v>
      </c>
      <c r="D18" s="19" t="s">
        <v>1661</v>
      </c>
      <c r="E18" s="19" t="s">
        <v>1662</v>
      </c>
      <c r="F18" s="19" t="s">
        <v>1663</v>
      </c>
      <c r="G18" s="19" t="s">
        <v>1664</v>
      </c>
    </row>
    <row r="19" customFormat="false" ht="49.5" hidden="false" customHeight="true" outlineLevel="0" collapsed="false">
      <c r="A19" s="5" t="s">
        <v>1121</v>
      </c>
      <c r="B19" s="5" t="s">
        <v>1665</v>
      </c>
      <c r="C19" s="4" t="s">
        <v>698</v>
      </c>
      <c r="D19" s="5" t="s">
        <v>1666</v>
      </c>
      <c r="E19" s="5" t="s">
        <v>1667</v>
      </c>
      <c r="F19" s="5" t="s">
        <v>1668</v>
      </c>
      <c r="G19" s="5" t="s">
        <v>1669</v>
      </c>
    </row>
    <row r="20" customFormat="false" ht="24.75" hidden="false" customHeight="true" outlineLevel="0" collapsed="false">
      <c r="A20" s="19" t="s">
        <v>1417</v>
      </c>
      <c r="B20" s="19" t="s">
        <v>1413</v>
      </c>
      <c r="C20" s="20" t="s">
        <v>1670</v>
      </c>
      <c r="D20" s="19" t="s">
        <v>1671</v>
      </c>
      <c r="E20" s="19" t="s">
        <v>1672</v>
      </c>
      <c r="F20" s="19" t="s">
        <v>1411</v>
      </c>
      <c r="G20" s="19" t="s">
        <v>1673</v>
      </c>
    </row>
    <row r="21" customFormat="false" ht="49.5" hidden="false" customHeight="true" outlineLevel="0" collapsed="false">
      <c r="A21" s="5" t="s">
        <v>1009</v>
      </c>
      <c r="B21" s="5" t="s">
        <v>857</v>
      </c>
      <c r="C21" s="4" t="s">
        <v>1674</v>
      </c>
      <c r="D21" s="5" t="s">
        <v>1675</v>
      </c>
      <c r="E21" s="5" t="s">
        <v>1676</v>
      </c>
      <c r="F21" s="5" t="s">
        <v>1003</v>
      </c>
      <c r="G21" s="5" t="s">
        <v>1017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6" min="3" style="0" width="16"/>
  </cols>
  <sheetData>
    <row r="1" customFormat="false" ht="17.35" hidden="false" customHeight="false" outlineLevel="0" collapsed="false">
      <c r="A1" s="1" t="s">
        <v>1677</v>
      </c>
    </row>
    <row r="2" customFormat="false" ht="15" hidden="false" customHeight="false" outlineLevel="0" collapsed="false">
      <c r="A2" s="2" t="s">
        <v>1678</v>
      </c>
    </row>
    <row r="4" customFormat="false" ht="15" hidden="false" customHeight="false" outlineLevel="0" collapsed="false">
      <c r="B4" s="3" t="s">
        <v>1679</v>
      </c>
      <c r="C4" s="3" t="s">
        <v>1680</v>
      </c>
    </row>
    <row r="5" customFormat="false" ht="32.8" hidden="false" customHeight="false" outlineLevel="0" collapsed="false">
      <c r="B5" s="5" t="s">
        <v>1681</v>
      </c>
      <c r="C5" s="21" t="s">
        <v>1682</v>
      </c>
    </row>
    <row r="6" customFormat="false" ht="15" hidden="false" customHeight="false" outlineLevel="0" collapsed="false">
      <c r="B6" s="5" t="s">
        <v>1683</v>
      </c>
      <c r="C6" s="22" t="n">
        <v>4.55</v>
      </c>
    </row>
    <row r="7" customFormat="false" ht="15" hidden="false" customHeight="false" outlineLevel="0" collapsed="false">
      <c r="B7" s="5" t="s">
        <v>1684</v>
      </c>
      <c r="C7" s="22" t="n">
        <v>4.5</v>
      </c>
    </row>
    <row r="8" customFormat="false" ht="15" hidden="false" customHeight="false" outlineLevel="0" collapsed="false">
      <c r="B8" s="5" t="s">
        <v>1685</v>
      </c>
      <c r="C8" s="22" t="n">
        <v>0.15</v>
      </c>
    </row>
    <row r="9" customFormat="false" ht="15" hidden="false" customHeight="false" outlineLevel="0" collapsed="false">
      <c r="B9" s="5" t="s">
        <v>1686</v>
      </c>
      <c r="C9" s="23" t="n">
        <v>10000</v>
      </c>
    </row>
    <row r="10" customFormat="false" ht="15" hidden="false" customHeight="false" outlineLevel="0" collapsed="false">
      <c r="B10" s="5" t="s">
        <v>1687</v>
      </c>
      <c r="C10" s="23" t="n">
        <v>100</v>
      </c>
    </row>
    <row r="11" customFormat="false" ht="15" hidden="false" customHeight="false" outlineLevel="0" collapsed="false">
      <c r="B11" s="5" t="s">
        <v>1688</v>
      </c>
      <c r="C11" s="22" t="n">
        <v>0.55</v>
      </c>
    </row>
    <row r="13" customFormat="false" ht="15" hidden="false" customHeight="false" outlineLevel="0" collapsed="false">
      <c r="B13" s="3" t="s">
        <v>1689</v>
      </c>
      <c r="C13" s="3" t="s">
        <v>1680</v>
      </c>
    </row>
    <row r="14" customFormat="false" ht="15" hidden="false" customHeight="false" outlineLevel="0" collapsed="false">
      <c r="B14" s="5" t="s">
        <v>1690</v>
      </c>
      <c r="C14" s="24" t="n">
        <f aca="false">(C6-C7)/C8</f>
        <v>0.333333333333332</v>
      </c>
    </row>
    <row r="15" customFormat="false" ht="15" hidden="false" customHeight="false" outlineLevel="0" collapsed="false">
      <c r="B15" s="5" t="s">
        <v>1691</v>
      </c>
      <c r="C15" s="24" t="n">
        <f aca="false">NORMSDIST(C14)</f>
        <v>0.630558659818236</v>
      </c>
    </row>
    <row r="16" customFormat="false" ht="15" hidden="false" customHeight="false" outlineLevel="0" collapsed="false">
      <c r="B16" s="5" t="s">
        <v>1692</v>
      </c>
      <c r="C16" s="24" t="n">
        <f aca="false">NORMDIST(C14,0,1,FALSE())/C8</f>
        <v>2.51588818461996</v>
      </c>
    </row>
    <row r="17" customFormat="false" ht="15" hidden="false" customHeight="false" outlineLevel="0" collapsed="false">
      <c r="B17" s="5" t="s">
        <v>1693</v>
      </c>
      <c r="C17" s="25" t="n">
        <f aca="false">C9*C16</f>
        <v>25158.8818461996</v>
      </c>
    </row>
    <row r="18" customFormat="false" ht="15" hidden="false" customHeight="false" outlineLevel="0" collapsed="false">
      <c r="B18" s="5" t="s">
        <v>1694</v>
      </c>
      <c r="C18" s="26" t="n">
        <f aca="false">-C17/C10</f>
        <v>-251.588818461996</v>
      </c>
    </row>
    <row r="19" customFormat="false" ht="15" hidden="false" customHeight="false" outlineLevel="0" collapsed="false">
      <c r="B19" s="5" t="s">
        <v>1695</v>
      </c>
      <c r="C19" s="25" t="n">
        <f aca="false">ROUND(C18,0)</f>
        <v>-252</v>
      </c>
    </row>
    <row r="20" customFormat="false" ht="15" hidden="false" customHeight="false" outlineLevel="0" collapsed="false">
      <c r="B20" s="5" t="s">
        <v>1696</v>
      </c>
      <c r="C20" s="27" t="n">
        <f aca="false">C9*(C15-C11)</f>
        <v>805.586598182358</v>
      </c>
    </row>
    <row r="22" customFormat="false" ht="15" hidden="false" customHeight="false" outlineLevel="0" collapsed="false">
      <c r="B22" s="28" t="s">
        <v>1697</v>
      </c>
    </row>
    <row r="23" customFormat="false" ht="23.85" hidden="false" customHeight="false" outlineLevel="0" collapsed="false">
      <c r="B23" s="3" t="s">
        <v>1698</v>
      </c>
      <c r="C23" s="3" t="s">
        <v>1699</v>
      </c>
      <c r="D23" s="3" t="s">
        <v>1700</v>
      </c>
      <c r="E23" s="3" t="s">
        <v>1701</v>
      </c>
      <c r="F23" s="3" t="s">
        <v>1702</v>
      </c>
    </row>
    <row r="24" customFormat="false" ht="15" hidden="false" customHeight="false" outlineLevel="0" collapsed="false">
      <c r="B24" s="5" t="s">
        <v>1703</v>
      </c>
      <c r="C24" s="29" t="n">
        <f aca="false">ROUND($C$7-0.35+0*0.05,2)</f>
        <v>4.15</v>
      </c>
      <c r="D24" s="27" t="n">
        <f aca="false">$C$9*(IF(C24&gt;$C$7,1,0)-$C$11)</f>
        <v>-5500</v>
      </c>
      <c r="E24" s="27" t="n">
        <f aca="false">$C$19*(C24-$C$6)*$C$10</f>
        <v>10080</v>
      </c>
      <c r="F24" s="27" t="n">
        <f aca="false">D24+E24</f>
        <v>4579.99999999999</v>
      </c>
    </row>
    <row r="25" customFormat="false" ht="15" hidden="false" customHeight="false" outlineLevel="0" collapsed="false">
      <c r="B25" s="5" t="s">
        <v>1704</v>
      </c>
      <c r="C25" s="29" t="n">
        <f aca="false">ROUND($C$7-0.35+1*0.05,2)</f>
        <v>4.2</v>
      </c>
      <c r="D25" s="27" t="n">
        <f aca="false">$C$9*(IF(C25&gt;$C$7,1,0)-$C$11)</f>
        <v>-5500</v>
      </c>
      <c r="E25" s="27" t="n">
        <f aca="false">$C$19*(C25-$C$6)*$C$10</f>
        <v>8819.99999999999</v>
      </c>
      <c r="F25" s="27" t="n">
        <f aca="false">D25+E25</f>
        <v>3319.99999999999</v>
      </c>
    </row>
    <row r="26" customFormat="false" ht="15" hidden="false" customHeight="false" outlineLevel="0" collapsed="false">
      <c r="B26" s="5" t="s">
        <v>1705</v>
      </c>
      <c r="C26" s="29" t="n">
        <f aca="false">ROUND($C$7-0.35+2*0.05,2)</f>
        <v>4.25</v>
      </c>
      <c r="D26" s="27" t="n">
        <f aca="false">$C$9*(IF(C26&gt;$C$7,1,0)-$C$11)</f>
        <v>-5500</v>
      </c>
      <c r="E26" s="27" t="n">
        <f aca="false">$C$19*(C26-$C$6)*$C$10</f>
        <v>7560</v>
      </c>
      <c r="F26" s="27" t="n">
        <f aca="false">D26+E26</f>
        <v>2060</v>
      </c>
    </row>
    <row r="27" customFormat="false" ht="15" hidden="false" customHeight="false" outlineLevel="0" collapsed="false">
      <c r="B27" s="5" t="s">
        <v>1706</v>
      </c>
      <c r="C27" s="29" t="n">
        <f aca="false">ROUND($C$7-0.35+3*0.05,2)</f>
        <v>4.3</v>
      </c>
      <c r="D27" s="27" t="n">
        <f aca="false">$C$9*(IF(C27&gt;$C$7,1,0)-$C$11)</f>
        <v>-5500</v>
      </c>
      <c r="E27" s="27" t="n">
        <f aca="false">$C$19*(C27-$C$6)*$C$10</f>
        <v>6300</v>
      </c>
      <c r="F27" s="27" t="n">
        <f aca="false">D27+E27</f>
        <v>800</v>
      </c>
    </row>
    <row r="28" customFormat="false" ht="15" hidden="false" customHeight="false" outlineLevel="0" collapsed="false">
      <c r="B28" s="5" t="s">
        <v>1707</v>
      </c>
      <c r="C28" s="29" t="n">
        <f aca="false">ROUND($C$7-0.35+4*0.05,2)</f>
        <v>4.35</v>
      </c>
      <c r="D28" s="27" t="n">
        <f aca="false">$C$9*(IF(C28&gt;$C$7,1,0)-$C$11)</f>
        <v>-5500</v>
      </c>
      <c r="E28" s="27" t="n">
        <f aca="false">$C$19*(C28-$C$6)*$C$10</f>
        <v>5040.00000000001</v>
      </c>
      <c r="F28" s="27" t="n">
        <f aca="false">D28+E28</f>
        <v>-459.999999999995</v>
      </c>
    </row>
    <row r="29" customFormat="false" ht="15" hidden="false" customHeight="false" outlineLevel="0" collapsed="false">
      <c r="B29" s="5" t="s">
        <v>1708</v>
      </c>
      <c r="C29" s="29" t="n">
        <f aca="false">ROUND($C$7-0.35+5*0.05,2)</f>
        <v>4.4</v>
      </c>
      <c r="D29" s="27" t="n">
        <f aca="false">$C$9*(IF(C29&gt;$C$7,1,0)-$C$11)</f>
        <v>-5500</v>
      </c>
      <c r="E29" s="27" t="n">
        <f aca="false">$C$19*(C29-$C$6)*$C$10</f>
        <v>3779.99999999999</v>
      </c>
      <c r="F29" s="27" t="n">
        <f aca="false">D29+E29</f>
        <v>-1720.00000000001</v>
      </c>
    </row>
    <row r="30" customFormat="false" ht="15" hidden="false" customHeight="false" outlineLevel="0" collapsed="false">
      <c r="B30" s="5" t="s">
        <v>1709</v>
      </c>
      <c r="C30" s="29" t="n">
        <f aca="false">ROUND($C$7-0.35+6*0.05,2)</f>
        <v>4.45</v>
      </c>
      <c r="D30" s="27" t="n">
        <f aca="false">$C$9*(IF(C30&gt;$C$7,1,0)-$C$11)</f>
        <v>-5500</v>
      </c>
      <c r="E30" s="27" t="n">
        <f aca="false">$C$19*(C30-$C$6)*$C$10</f>
        <v>2519.99999999999</v>
      </c>
      <c r="F30" s="27" t="n">
        <f aca="false">D30+E30</f>
        <v>-2980.00000000001</v>
      </c>
    </row>
    <row r="31" customFormat="false" ht="15" hidden="false" customHeight="false" outlineLevel="0" collapsed="false">
      <c r="B31" s="5" t="s">
        <v>1710</v>
      </c>
      <c r="C31" s="29" t="n">
        <f aca="false">ROUND($C$7-0.35+7*0.05,2)</f>
        <v>4.5</v>
      </c>
      <c r="D31" s="27" t="n">
        <f aca="false">$C$9*(IF(C31&gt;$C$7,1,0)-$C$11)</f>
        <v>-5500</v>
      </c>
      <c r="E31" s="27" t="n">
        <f aca="false">$C$19*(C31-$C$6)*$C$10</f>
        <v>1260</v>
      </c>
      <c r="F31" s="27" t="n">
        <f aca="false">D31+E31</f>
        <v>-4240.00000000001</v>
      </c>
    </row>
    <row r="32" customFormat="false" ht="15" hidden="false" customHeight="false" outlineLevel="0" collapsed="false">
      <c r="B32" s="5" t="s">
        <v>1711</v>
      </c>
      <c r="C32" s="29" t="n">
        <f aca="false">ROUND($C$7-0.35+8*0.05,2)</f>
        <v>4.55</v>
      </c>
      <c r="D32" s="27" t="n">
        <f aca="false">$C$9*(IF(C32&gt;$C$7,1,0)-$C$11)</f>
        <v>4500</v>
      </c>
      <c r="E32" s="27" t="n">
        <f aca="false">$C$19*(C32-$C$6)*$C$10</f>
        <v>-0</v>
      </c>
      <c r="F32" s="27" t="n">
        <f aca="false">D32+E32</f>
        <v>4500</v>
      </c>
    </row>
    <row r="33" customFormat="false" ht="15" hidden="false" customHeight="false" outlineLevel="0" collapsed="false">
      <c r="B33" s="5" t="s">
        <v>1712</v>
      </c>
      <c r="C33" s="29" t="n">
        <f aca="false">ROUND($C$7-0.35+9*0.05,2)</f>
        <v>4.6</v>
      </c>
      <c r="D33" s="27" t="n">
        <f aca="false">$C$9*(IF(C33&gt;$C$7,1,0)-$C$11)</f>
        <v>4500</v>
      </c>
      <c r="E33" s="27" t="n">
        <f aca="false">$C$19*(C33-$C$6)*$C$10</f>
        <v>-1260</v>
      </c>
      <c r="F33" s="27" t="n">
        <f aca="false">D33+E33</f>
        <v>3240</v>
      </c>
    </row>
    <row r="34" customFormat="false" ht="15" hidden="false" customHeight="false" outlineLevel="0" collapsed="false">
      <c r="B34" s="5" t="s">
        <v>1713</v>
      </c>
      <c r="C34" s="29" t="n">
        <f aca="false">ROUND($C$7-0.35+10*0.05,2)</f>
        <v>4.65</v>
      </c>
      <c r="D34" s="27" t="n">
        <f aca="false">$C$9*(IF(C34&gt;$C$7,1,0)-$C$11)</f>
        <v>4500</v>
      </c>
      <c r="E34" s="27" t="n">
        <f aca="false">$C$19*(C34-$C$6)*$C$10</f>
        <v>-2520.00000000001</v>
      </c>
      <c r="F34" s="27" t="n">
        <f aca="false">D34+E34</f>
        <v>1979.99999999999</v>
      </c>
    </row>
    <row r="35" customFormat="false" ht="15" hidden="false" customHeight="false" outlineLevel="0" collapsed="false">
      <c r="B35" s="5" t="s">
        <v>1714</v>
      </c>
      <c r="C35" s="29" t="n">
        <f aca="false">ROUND($C$7-0.35+11*0.05,2)</f>
        <v>4.7</v>
      </c>
      <c r="D35" s="27" t="n">
        <f aca="false">$C$9*(IF(C35&gt;$C$7,1,0)-$C$11)</f>
        <v>4500</v>
      </c>
      <c r="E35" s="27" t="n">
        <f aca="false">$C$19*(C35-$C$6)*$C$10</f>
        <v>-3780.00000000001</v>
      </c>
      <c r="F35" s="27" t="n">
        <f aca="false">D35+E35</f>
        <v>719.999999999991</v>
      </c>
    </row>
    <row r="36" customFormat="false" ht="15" hidden="false" customHeight="false" outlineLevel="0" collapsed="false">
      <c r="B36" s="5" t="s">
        <v>1715</v>
      </c>
      <c r="C36" s="29" t="n">
        <f aca="false">ROUND($C$7-0.35+12*0.05,2)</f>
        <v>4.75</v>
      </c>
      <c r="D36" s="27" t="n">
        <f aca="false">$C$9*(IF(C36&gt;$C$7,1,0)-$C$11)</f>
        <v>4500</v>
      </c>
      <c r="E36" s="27" t="n">
        <f aca="false">$C$19*(C36-$C$6)*$C$10</f>
        <v>-5040.00000000001</v>
      </c>
      <c r="F36" s="27" t="n">
        <f aca="false">D36+E36</f>
        <v>-540.000000000005</v>
      </c>
    </row>
    <row r="37" customFormat="false" ht="15" hidden="false" customHeight="false" outlineLevel="0" collapsed="false">
      <c r="B37" s="5" t="s">
        <v>1716</v>
      </c>
      <c r="C37" s="29" t="n">
        <f aca="false">ROUND($C$7-0.35+13*0.05,2)</f>
        <v>4.8</v>
      </c>
      <c r="D37" s="27" t="n">
        <f aca="false">$C$9*(IF(C37&gt;$C$7,1,0)-$C$11)</f>
        <v>4500</v>
      </c>
      <c r="E37" s="27" t="n">
        <f aca="false">$C$19*(C37-$C$6)*$C$10</f>
        <v>-6300</v>
      </c>
      <c r="F37" s="27" t="n">
        <f aca="false">D37+E37</f>
        <v>-1800</v>
      </c>
    </row>
    <row r="38" customFormat="false" ht="15" hidden="false" customHeight="false" outlineLevel="0" collapsed="false">
      <c r="B38" s="5" t="s">
        <v>1717</v>
      </c>
      <c r="C38" s="29" t="n">
        <f aca="false">ROUND($C$7-0.35+14*0.05,2)</f>
        <v>4.85</v>
      </c>
      <c r="D38" s="27" t="n">
        <f aca="false">$C$9*(IF(C38&gt;$C$7,1,0)-$C$11)</f>
        <v>4500</v>
      </c>
      <c r="E38" s="27" t="n">
        <f aca="false">$C$19*(C38-$C$6)*$C$10</f>
        <v>-7560</v>
      </c>
      <c r="F38" s="27" t="n">
        <f aca="false">D38+E38</f>
        <v>-3060</v>
      </c>
    </row>
    <row r="40" customFormat="false" ht="18" hidden="false" customHeight="true" outlineLevel="0" collapsed="false">
      <c r="B40" s="30" t="s">
        <v>1718</v>
      </c>
      <c r="C40" s="30"/>
      <c r="D40" s="30"/>
      <c r="E40" s="30"/>
      <c r="F40" s="30"/>
    </row>
    <row r="41" customFormat="false" ht="18" hidden="false" customHeight="true" outlineLevel="0" collapsed="false">
      <c r="B41" s="30"/>
      <c r="C41" s="30"/>
      <c r="D41" s="30"/>
      <c r="E41" s="30"/>
      <c r="F41" s="30"/>
    </row>
    <row r="42" customFormat="false" ht="18" hidden="false" customHeight="true" outlineLevel="0" collapsed="false">
      <c r="B42" s="30"/>
      <c r="C42" s="30"/>
      <c r="D42" s="30"/>
      <c r="E42" s="30"/>
      <c r="F42" s="30"/>
    </row>
    <row r="43" customFormat="false" ht="18" hidden="false" customHeight="true" outlineLevel="0" collapsed="false">
      <c r="B43" s="30"/>
      <c r="C43" s="30"/>
      <c r="D43" s="30"/>
      <c r="E43" s="30"/>
      <c r="F43" s="30"/>
    </row>
  </sheetData>
  <mergeCells count="1">
    <mergeCell ref="B40: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2026-09-11T19:57:01Z</dcterms:created>
  <dc:creator>openpyxl</dc:creator>
  <dc:description/>
  <dc:language>en-US</dc:language>
  <cp:lastModifiedBy/>
  <dcterms:modified xsi:type="dcterms:W3CDTF">2026-09-11T19:57:01Z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